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kodacomtr-my.sharepoint.com/personal/dogao_skoda_com_tr/Documents/Masaüstü/Skoda Images/"/>
    </mc:Choice>
  </mc:AlternateContent>
  <xr:revisionPtr revIDLastSave="607" documentId="13_ncr:1_{4E7C0D47-D797-4730-8FDC-3974989C6A68}" xr6:coauthVersionLast="47" xr6:coauthVersionMax="47" xr10:uidLastSave="{BD5E6871-BA69-43F9-A466-0F3D6EF2DFEA}"/>
  <bookViews>
    <workbookView xWindow="-120" yWindow="-120" windowWidth="29040" windowHeight="15720" firstSheet="1" activeTab="1" xr2:uid="{B007264E-2F80-4630-904A-989CD8018111}"/>
  </bookViews>
  <sheets>
    <sheet name="Perakende" sheetId="7" state="hidden" r:id="rId1"/>
    <sheet name="Kurgu" sheetId="12" r:id="rId2"/>
    <sheet name="Orijinal" sheetId="10" r:id="rId3"/>
    <sheet name="Filo versiyon bazlı detay" sheetId="11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2" l="1"/>
  <c r="O3" i="12"/>
  <c r="N4" i="12"/>
  <c r="O4" i="12"/>
  <c r="N5" i="12"/>
  <c r="O5" i="12"/>
  <c r="N6" i="12"/>
  <c r="O6" i="12"/>
  <c r="N7" i="12"/>
  <c r="O7" i="12"/>
  <c r="N8" i="12"/>
  <c r="O8" i="12"/>
  <c r="N9" i="12"/>
  <c r="O9" i="12"/>
  <c r="N10" i="12"/>
  <c r="O10" i="12"/>
  <c r="N11" i="12"/>
  <c r="O11" i="12"/>
  <c r="N12" i="12"/>
  <c r="O12" i="12"/>
  <c r="N13" i="12"/>
  <c r="O13" i="12"/>
  <c r="N14" i="12"/>
  <c r="O14" i="12"/>
  <c r="N15" i="12"/>
  <c r="O15" i="12"/>
  <c r="N16" i="12"/>
  <c r="O16" i="12"/>
  <c r="N17" i="12"/>
  <c r="O17" i="12"/>
  <c r="N18" i="12"/>
  <c r="O18" i="12"/>
  <c r="O2" i="12"/>
  <c r="N2" i="12"/>
  <c r="W1" i="12"/>
  <c r="U1" i="12"/>
  <c r="T1" i="12"/>
  <c r="S1" i="12"/>
  <c r="R1" i="12"/>
  <c r="O1" i="12"/>
  <c r="N1" i="12"/>
  <c r="I62" i="10"/>
  <c r="K62" i="10" s="1"/>
  <c r="AD62" i="10" s="1"/>
  <c r="AF62" i="10" s="1"/>
  <c r="J62" i="10"/>
  <c r="I63" i="10"/>
  <c r="J63" i="10"/>
  <c r="K63" i="10"/>
  <c r="AD63" i="10"/>
  <c r="AF63" i="10" s="1"/>
  <c r="I64" i="10"/>
  <c r="J64" i="10"/>
  <c r="K64" i="10"/>
  <c r="AD64" i="10" s="1"/>
  <c r="AF64" i="10" s="1"/>
  <c r="I65" i="10"/>
  <c r="K65" i="10" s="1"/>
  <c r="AD65" i="10" s="1"/>
  <c r="AF65" i="10" s="1"/>
  <c r="J65" i="10"/>
  <c r="I66" i="10"/>
  <c r="K66" i="10" s="1"/>
  <c r="AD66" i="10" s="1"/>
  <c r="AF66" i="10" s="1"/>
  <c r="J66" i="10"/>
  <c r="I67" i="10"/>
  <c r="J67" i="10"/>
  <c r="K67" i="10"/>
  <c r="AD67" i="10"/>
  <c r="AF67" i="10" s="1"/>
  <c r="I52" i="10"/>
  <c r="J52" i="10"/>
  <c r="AB52" i="10"/>
  <c r="I53" i="10"/>
  <c r="J53" i="10"/>
  <c r="AB53" i="10"/>
  <c r="I54" i="10"/>
  <c r="J54" i="10"/>
  <c r="AB54" i="10"/>
  <c r="I55" i="10"/>
  <c r="J55" i="10"/>
  <c r="AB55" i="10"/>
  <c r="I56" i="10"/>
  <c r="J56" i="10"/>
  <c r="AB56" i="10"/>
  <c r="I40" i="10"/>
  <c r="J40" i="10"/>
  <c r="AB40" i="10"/>
  <c r="AD40" i="10" s="1"/>
  <c r="AF40" i="10" s="1"/>
  <c r="I41" i="10"/>
  <c r="J41" i="10"/>
  <c r="AB41" i="10"/>
  <c r="AD41" i="10" s="1"/>
  <c r="AF41" i="10" s="1"/>
  <c r="I42" i="10"/>
  <c r="J42" i="10"/>
  <c r="AB42" i="10"/>
  <c r="AD42" i="10" s="1"/>
  <c r="AF42" i="10" s="1"/>
  <c r="I43" i="10"/>
  <c r="J43" i="10"/>
  <c r="AB43" i="10"/>
  <c r="AD43" i="10" s="1"/>
  <c r="AF43" i="10" s="1"/>
  <c r="I44" i="10"/>
  <c r="J44" i="10"/>
  <c r="AB44" i="10"/>
  <c r="AD44" i="10" s="1"/>
  <c r="AF44" i="10" s="1"/>
  <c r="I45" i="10"/>
  <c r="J45" i="10"/>
  <c r="AB45" i="10"/>
  <c r="AD45" i="10" s="1"/>
  <c r="AF45" i="10" s="1"/>
  <c r="I46" i="10"/>
  <c r="J46" i="10"/>
  <c r="AB46" i="10"/>
  <c r="AD46" i="10" s="1"/>
  <c r="AF46" i="10" s="1"/>
  <c r="I32" i="10"/>
  <c r="J32" i="10"/>
  <c r="AB32" i="10"/>
  <c r="I33" i="10"/>
  <c r="J33" i="10"/>
  <c r="AB33" i="10"/>
  <c r="I34" i="10"/>
  <c r="J34" i="10"/>
  <c r="AB34" i="10"/>
  <c r="I35" i="10"/>
  <c r="J35" i="10"/>
  <c r="AB35" i="10"/>
  <c r="I24" i="10"/>
  <c r="J24" i="10"/>
  <c r="I25" i="10"/>
  <c r="J25" i="10"/>
  <c r="I26" i="10"/>
  <c r="J26" i="10"/>
  <c r="I15" i="10"/>
  <c r="J15" i="10"/>
  <c r="I16" i="10"/>
  <c r="J16" i="10"/>
  <c r="I7" i="10"/>
  <c r="J7" i="10"/>
  <c r="M7" i="10"/>
  <c r="N7" i="10"/>
  <c r="AD7" i="10"/>
  <c r="AF7" i="10" s="1"/>
  <c r="I8" i="10"/>
  <c r="J8" i="10"/>
  <c r="M8" i="10"/>
  <c r="N8" i="10"/>
  <c r="AD8" i="10"/>
  <c r="AF8" i="10" s="1"/>
  <c r="I9" i="10"/>
  <c r="J9" i="10"/>
  <c r="M9" i="10"/>
  <c r="N9" i="10"/>
  <c r="AD9" i="10"/>
  <c r="AF9" i="10" s="1"/>
  <c r="I10" i="10"/>
  <c r="J10" i="10"/>
  <c r="M10" i="10"/>
  <c r="N10" i="10"/>
  <c r="AD10" i="10"/>
  <c r="AF10" i="10" s="1"/>
  <c r="Y12" i="10"/>
  <c r="Z12" i="10"/>
  <c r="AA12" i="10"/>
  <c r="Y21" i="10"/>
  <c r="Z21" i="10"/>
  <c r="AA21" i="10"/>
  <c r="Y29" i="10"/>
  <c r="Z29" i="10"/>
  <c r="AA29" i="10"/>
  <c r="Y37" i="10"/>
  <c r="Z37" i="10"/>
  <c r="AA37" i="10"/>
  <c r="Y49" i="10"/>
  <c r="Z49" i="10"/>
  <c r="AA49" i="10"/>
  <c r="Y59" i="10"/>
  <c r="Z59" i="10"/>
  <c r="AA59" i="10"/>
  <c r="Y72" i="10"/>
  <c r="Z72" i="10"/>
  <c r="AA72" i="10"/>
  <c r="AB58" i="10"/>
  <c r="AB51" i="10"/>
  <c r="AB48" i="10"/>
  <c r="AB39" i="10"/>
  <c r="AB36" i="10"/>
  <c r="AB31" i="10"/>
  <c r="J71" i="10"/>
  <c r="J70" i="10"/>
  <c r="J69" i="10"/>
  <c r="J68" i="10"/>
  <c r="J61" i="10"/>
  <c r="J58" i="10"/>
  <c r="J57" i="10"/>
  <c r="J51" i="10"/>
  <c r="J48" i="10"/>
  <c r="J47" i="10"/>
  <c r="J39" i="10"/>
  <c r="J36" i="10"/>
  <c r="J31" i="10"/>
  <c r="J28" i="10"/>
  <c r="J27" i="10"/>
  <c r="J23" i="10"/>
  <c r="J20" i="10"/>
  <c r="J19" i="10"/>
  <c r="J18" i="10"/>
  <c r="J17" i="10"/>
  <c r="J14" i="10"/>
  <c r="J11" i="10"/>
  <c r="J6" i="10"/>
  <c r="G12" i="10"/>
  <c r="F21" i="10"/>
  <c r="F29" i="10"/>
  <c r="F37" i="10"/>
  <c r="F59" i="10"/>
  <c r="F72" i="10"/>
  <c r="AC27" i="7"/>
  <c r="AC28" i="7" s="1"/>
  <c r="AC8" i="7"/>
  <c r="AA28" i="7"/>
  <c r="AA8" i="7"/>
  <c r="I49" i="7"/>
  <c r="I48" i="7"/>
  <c r="I47" i="7"/>
  <c r="I46" i="7"/>
  <c r="I45" i="7"/>
  <c r="I42" i="7"/>
  <c r="I41" i="7"/>
  <c r="I40" i="7"/>
  <c r="I39" i="7"/>
  <c r="I38" i="7"/>
  <c r="I37" i="7"/>
  <c r="I34" i="7"/>
  <c r="I33" i="7"/>
  <c r="I32" i="7"/>
  <c r="I31" i="7"/>
  <c r="I30" i="7"/>
  <c r="I27" i="7"/>
  <c r="I26" i="7"/>
  <c r="I25" i="7"/>
  <c r="I24" i="7"/>
  <c r="I21" i="7"/>
  <c r="I20" i="7"/>
  <c r="I19" i="7"/>
  <c r="I18" i="7"/>
  <c r="I17" i="7"/>
  <c r="I14" i="7"/>
  <c r="I13" i="7"/>
  <c r="I12" i="7"/>
  <c r="I11" i="7"/>
  <c r="I10" i="7"/>
  <c r="I7" i="7"/>
  <c r="I6" i="7"/>
  <c r="G50" i="7"/>
  <c r="G43" i="7"/>
  <c r="G35" i="7"/>
  <c r="G28" i="7"/>
  <c r="G22" i="7"/>
  <c r="G15" i="7"/>
  <c r="G8" i="7"/>
  <c r="F8" i="7"/>
  <c r="E8" i="7"/>
  <c r="I5" i="7"/>
  <c r="K52" i="10" l="1"/>
  <c r="K55" i="10"/>
  <c r="K42" i="10"/>
  <c r="AD55" i="10"/>
  <c r="AF55" i="10" s="1"/>
  <c r="K40" i="10"/>
  <c r="K44" i="10"/>
  <c r="K54" i="10"/>
  <c r="AD54" i="10" s="1"/>
  <c r="AF54" i="10" s="1"/>
  <c r="K53" i="10"/>
  <c r="AD53" i="10" s="1"/>
  <c r="AF53" i="10" s="1"/>
  <c r="AD52" i="10"/>
  <c r="AF52" i="10" s="1"/>
  <c r="K56" i="10"/>
  <c r="AD56" i="10" s="1"/>
  <c r="AF56" i="10" s="1"/>
  <c r="K45" i="10"/>
  <c r="K41" i="10"/>
  <c r="K43" i="10"/>
  <c r="K46" i="10"/>
  <c r="K35" i="10"/>
  <c r="AD35" i="10" s="1"/>
  <c r="AF35" i="10" s="1"/>
  <c r="K33" i="10"/>
  <c r="AD33" i="10" s="1"/>
  <c r="AF33" i="10" s="1"/>
  <c r="K34" i="10"/>
  <c r="AD34" i="10" s="1"/>
  <c r="AF34" i="10" s="1"/>
  <c r="K15" i="10"/>
  <c r="AD15" i="10" s="1"/>
  <c r="AF15" i="10" s="1"/>
  <c r="K32" i="10"/>
  <c r="AD32" i="10" s="1"/>
  <c r="AF32" i="10" s="1"/>
  <c r="K25" i="10"/>
  <c r="AD25" i="10" s="1"/>
  <c r="AF25" i="10" s="1"/>
  <c r="K8" i="10"/>
  <c r="K16" i="10"/>
  <c r="AD16" i="10" s="1"/>
  <c r="AF16" i="10" s="1"/>
  <c r="K24" i="10"/>
  <c r="AD24" i="10" s="1"/>
  <c r="AF24" i="10" s="1"/>
  <c r="K26" i="10"/>
  <c r="AD26" i="10" s="1"/>
  <c r="AF26" i="10" s="1"/>
  <c r="K7" i="10"/>
  <c r="K9" i="10"/>
  <c r="K10" i="10"/>
  <c r="Z73" i="10"/>
  <c r="AA73" i="10"/>
  <c r="Y73" i="10"/>
  <c r="G51" i="7"/>
  <c r="Y47" i="7"/>
  <c r="Y17" i="7"/>
  <c r="AD8" i="7"/>
  <c r="AD15" i="7"/>
  <c r="AD22" i="7"/>
  <c r="AD28" i="7"/>
  <c r="AD35" i="7"/>
  <c r="AD43" i="7"/>
  <c r="AD50" i="7"/>
  <c r="Y46" i="7"/>
  <c r="AD51" i="7" l="1"/>
  <c r="S48" i="7"/>
  <c r="R48" i="7"/>
  <c r="S47" i="7"/>
  <c r="R47" i="7"/>
  <c r="S46" i="7"/>
  <c r="R46" i="7"/>
  <c r="S45" i="7"/>
  <c r="R45" i="7"/>
  <c r="J28" i="7"/>
  <c r="E28" i="7"/>
  <c r="D28" i="7"/>
  <c r="K27" i="7" l="1"/>
  <c r="AA27" i="7" s="1"/>
  <c r="E72" i="10" l="1"/>
  <c r="E15" i="7"/>
  <c r="D22" i="7"/>
  <c r="D72" i="10"/>
  <c r="E21" i="10"/>
  <c r="D21" i="10"/>
  <c r="AB59" i="10"/>
  <c r="AB37" i="10"/>
  <c r="AB29" i="10"/>
  <c r="Y49" i="7"/>
  <c r="Y48" i="7"/>
  <c r="Y45" i="7"/>
  <c r="Y42" i="7"/>
  <c r="Y41" i="7"/>
  <c r="Y40" i="7"/>
  <c r="Y39" i="7"/>
  <c r="Y38" i="7"/>
  <c r="Y37" i="7"/>
  <c r="Y34" i="7"/>
  <c r="Y33" i="7"/>
  <c r="Y32" i="7"/>
  <c r="Y31" i="7"/>
  <c r="Y30" i="7"/>
  <c r="Y26" i="7"/>
  <c r="Y25" i="7"/>
  <c r="Y24" i="7"/>
  <c r="Y21" i="7"/>
  <c r="Y20" i="7"/>
  <c r="Y19" i="7"/>
  <c r="Y18" i="7"/>
  <c r="Y14" i="7"/>
  <c r="Y13" i="7"/>
  <c r="Y12" i="7"/>
  <c r="Y11" i="7"/>
  <c r="Y10" i="7"/>
  <c r="Y7" i="7"/>
  <c r="Y6" i="7"/>
  <c r="I58" i="10"/>
  <c r="I57" i="10"/>
  <c r="AB35" i="7"/>
  <c r="W50" i="7"/>
  <c r="W43" i="7"/>
  <c r="W35" i="7"/>
  <c r="W28" i="7"/>
  <c r="W22" i="7"/>
  <c r="W15" i="7"/>
  <c r="W8" i="7"/>
  <c r="Y5" i="7"/>
  <c r="AE12" i="10"/>
  <c r="AE21" i="10"/>
  <c r="AE29" i="10"/>
  <c r="AE37" i="10"/>
  <c r="AE49" i="10"/>
  <c r="AE59" i="10"/>
  <c r="AE72" i="10"/>
  <c r="J50" i="7"/>
  <c r="J43" i="7"/>
  <c r="J35" i="7"/>
  <c r="J22" i="7"/>
  <c r="J15" i="7"/>
  <c r="J8" i="7"/>
  <c r="D37" i="10"/>
  <c r="E37" i="10"/>
  <c r="X50" i="7"/>
  <c r="X43" i="7"/>
  <c r="X35" i="7"/>
  <c r="X28" i="7"/>
  <c r="X22" i="7"/>
  <c r="X15" i="7"/>
  <c r="X8" i="7"/>
  <c r="V50" i="7"/>
  <c r="V43" i="7"/>
  <c r="V35" i="7"/>
  <c r="V28" i="7"/>
  <c r="V22" i="7"/>
  <c r="V15" i="7"/>
  <c r="V8" i="7"/>
  <c r="S40" i="7"/>
  <c r="R40" i="7"/>
  <c r="S39" i="7"/>
  <c r="R39" i="7"/>
  <c r="S38" i="7"/>
  <c r="R38" i="7"/>
  <c r="S37" i="7"/>
  <c r="R37" i="7"/>
  <c r="S31" i="7"/>
  <c r="R31" i="7"/>
  <c r="S30" i="7"/>
  <c r="R30" i="7"/>
  <c r="S26" i="7"/>
  <c r="R26" i="7"/>
  <c r="S25" i="7"/>
  <c r="R25" i="7"/>
  <c r="R24" i="7"/>
  <c r="S24" i="7"/>
  <c r="S20" i="7"/>
  <c r="R20" i="7"/>
  <c r="S19" i="7"/>
  <c r="R19" i="7"/>
  <c r="S18" i="7"/>
  <c r="R18" i="7"/>
  <c r="S17" i="7"/>
  <c r="R17" i="7"/>
  <c r="S13" i="7"/>
  <c r="R13" i="7"/>
  <c r="S12" i="7"/>
  <c r="R12" i="7"/>
  <c r="S11" i="7"/>
  <c r="R11" i="7"/>
  <c r="S10" i="7"/>
  <c r="R10" i="7"/>
  <c r="S6" i="7"/>
  <c r="R6" i="7"/>
  <c r="S5" i="7"/>
  <c r="R5" i="7"/>
  <c r="I47" i="10" l="1"/>
  <c r="I48" i="10"/>
  <c r="K48" i="10" s="1"/>
  <c r="AD48" i="10" s="1"/>
  <c r="AB49" i="10"/>
  <c r="AB21" i="10"/>
  <c r="K57" i="10"/>
  <c r="AD57" i="10" s="1"/>
  <c r="AF57" i="10" s="1"/>
  <c r="F28" i="7"/>
  <c r="F50" i="7"/>
  <c r="K41" i="7"/>
  <c r="K32" i="7"/>
  <c r="K33" i="7"/>
  <c r="AB72" i="10"/>
  <c r="W51" i="7"/>
  <c r="J51" i="7"/>
  <c r="Y8" i="7"/>
  <c r="J72" i="10"/>
  <c r="J59" i="10"/>
  <c r="X51" i="7"/>
  <c r="V51" i="7"/>
  <c r="AA32" i="7" l="1"/>
  <c r="AC32" i="7" s="1"/>
  <c r="AE32" i="7" s="1"/>
  <c r="AA41" i="7"/>
  <c r="AC41" i="7" s="1"/>
  <c r="AE41" i="7" s="1"/>
  <c r="AA33" i="7"/>
  <c r="AC33" i="7" s="1"/>
  <c r="AE33" i="7" s="1"/>
  <c r="K58" i="10"/>
  <c r="AD58" i="10" s="1"/>
  <c r="K47" i="10"/>
  <c r="I28" i="7"/>
  <c r="J29" i="10"/>
  <c r="J21" i="10"/>
  <c r="J37" i="10"/>
  <c r="T4" i="10"/>
  <c r="S4" i="10"/>
  <c r="N6" i="10"/>
  <c r="M6" i="10"/>
  <c r="I18" i="10"/>
  <c r="I71" i="10"/>
  <c r="I36" i="10"/>
  <c r="K36" i="10" s="1"/>
  <c r="AD36" i="10" s="1"/>
  <c r="I28" i="10"/>
  <c r="K28" i="10" s="1"/>
  <c r="AD28" i="10" s="1"/>
  <c r="I20" i="10"/>
  <c r="E22" i="7"/>
  <c r="AB22" i="7"/>
  <c r="Y22" i="7"/>
  <c r="AB15" i="7"/>
  <c r="Y15" i="7"/>
  <c r="D15" i="7"/>
  <c r="AB8" i="7"/>
  <c r="D8" i="7"/>
  <c r="AD47" i="10" l="1"/>
  <c r="AF47" i="10" s="1"/>
  <c r="K18" i="10"/>
  <c r="AF28" i="10"/>
  <c r="Y28" i="7"/>
  <c r="AB50" i="7"/>
  <c r="AD18" i="10" l="1"/>
  <c r="AF18" i="10" s="1"/>
  <c r="K71" i="10"/>
  <c r="K20" i="10"/>
  <c r="K21" i="7"/>
  <c r="K14" i="7"/>
  <c r="K7" i="7"/>
  <c r="K48" i="7"/>
  <c r="AA48" i="7" s="1"/>
  <c r="AF36" i="10"/>
  <c r="AD20" i="10" l="1"/>
  <c r="AF20" i="10" s="1"/>
  <c r="AD71" i="10"/>
  <c r="AF71" i="10" s="1"/>
  <c r="AA7" i="7"/>
  <c r="AC7" i="7" s="1"/>
  <c r="AE7" i="7" s="1"/>
  <c r="AA21" i="7"/>
  <c r="AC21" i="7" s="1"/>
  <c r="AE21" i="7" s="1"/>
  <c r="AA14" i="7"/>
  <c r="AC14" i="7" s="1"/>
  <c r="AE14" i="7" s="1"/>
  <c r="K24" i="7"/>
  <c r="AA24" i="7" s="1"/>
  <c r="K25" i="7"/>
  <c r="K46" i="7"/>
  <c r="K12" i="7"/>
  <c r="AC48" i="7"/>
  <c r="AE48" i="7" s="1"/>
  <c r="D43" i="7"/>
  <c r="R4" i="7"/>
  <c r="AA46" i="7" l="1"/>
  <c r="AC46" i="7" s="1"/>
  <c r="AE46" i="7" s="1"/>
  <c r="AA25" i="7"/>
  <c r="AC25" i="7" s="1"/>
  <c r="AE25" i="7" s="1"/>
  <c r="AA12" i="7"/>
  <c r="AC12" i="7" s="1"/>
  <c r="AE12" i="7" s="1"/>
  <c r="AC24" i="7"/>
  <c r="AE24" i="7" s="1"/>
  <c r="AF58" i="10"/>
  <c r="V4" i="10" l="1"/>
  <c r="R4" i="10" l="1"/>
  <c r="Q4" i="10"/>
  <c r="N4" i="10"/>
  <c r="M4" i="10"/>
  <c r="E59" i="10" l="1"/>
  <c r="D59" i="10"/>
  <c r="I51" i="10"/>
  <c r="E49" i="10"/>
  <c r="D49" i="10"/>
  <c r="F49" i="10"/>
  <c r="E29" i="10"/>
  <c r="D29" i="10"/>
  <c r="I14" i="10"/>
  <c r="E12" i="10"/>
  <c r="D12" i="10"/>
  <c r="I11" i="10"/>
  <c r="K11" i="10" s="1"/>
  <c r="F12" i="10"/>
  <c r="I4" i="7"/>
  <c r="F4" i="7"/>
  <c r="F73" i="10" l="1"/>
  <c r="I68" i="10"/>
  <c r="I27" i="10"/>
  <c r="K27" i="10" s="1"/>
  <c r="AD27" i="10" s="1"/>
  <c r="AF27" i="10" s="1"/>
  <c r="I17" i="10"/>
  <c r="I61" i="10"/>
  <c r="I19" i="10"/>
  <c r="I69" i="10"/>
  <c r="I23" i="10"/>
  <c r="K23" i="10" s="1"/>
  <c r="AD23" i="10" s="1"/>
  <c r="I70" i="10"/>
  <c r="I31" i="10"/>
  <c r="K31" i="10" s="1"/>
  <c r="AD31" i="10" s="1"/>
  <c r="G21" i="10"/>
  <c r="K14" i="10"/>
  <c r="AD14" i="10" s="1"/>
  <c r="K6" i="7"/>
  <c r="K5" i="7"/>
  <c r="G72" i="10"/>
  <c r="AF48" i="10"/>
  <c r="G29" i="10"/>
  <c r="G49" i="10"/>
  <c r="I39" i="10"/>
  <c r="G59" i="10"/>
  <c r="K51" i="10"/>
  <c r="AD51" i="10" s="1"/>
  <c r="AD11" i="10"/>
  <c r="AF11" i="10" s="1"/>
  <c r="K30" i="7"/>
  <c r="AA30" i="7" s="1"/>
  <c r="K17" i="7"/>
  <c r="AA17" i="7" s="1"/>
  <c r="K45" i="7"/>
  <c r="AA45" i="7" s="1"/>
  <c r="K20" i="7"/>
  <c r="AA20" i="7" s="1"/>
  <c r="K37" i="7"/>
  <c r="AA37" i="7" s="1"/>
  <c r="K10" i="7"/>
  <c r="AA10" i="7" s="1"/>
  <c r="G37" i="10"/>
  <c r="I6" i="10"/>
  <c r="AD39" i="10"/>
  <c r="F22" i="7"/>
  <c r="F15" i="7"/>
  <c r="D73" i="10"/>
  <c r="AA4" i="7"/>
  <c r="Y50" i="7"/>
  <c r="Y43" i="7"/>
  <c r="Y35" i="7"/>
  <c r="F43" i="7"/>
  <c r="F35" i="7"/>
  <c r="AB12" i="10"/>
  <c r="AE73" i="10"/>
  <c r="E73" i="10"/>
  <c r="AD6" i="10"/>
  <c r="E50" i="7"/>
  <c r="D50" i="7"/>
  <c r="AB43" i="7"/>
  <c r="E43" i="7"/>
  <c r="E35" i="7"/>
  <c r="D35" i="7"/>
  <c r="AB28" i="7"/>
  <c r="S4" i="7"/>
  <c r="G73" i="10" l="1"/>
  <c r="AD29" i="10"/>
  <c r="AA6" i="7"/>
  <c r="AC6" i="7" s="1"/>
  <c r="AE6" i="7" s="1"/>
  <c r="K69" i="10"/>
  <c r="K61" i="10"/>
  <c r="K70" i="10"/>
  <c r="K68" i="10"/>
  <c r="K17" i="10"/>
  <c r="K19" i="10"/>
  <c r="K11" i="7"/>
  <c r="K31" i="7"/>
  <c r="K38" i="7"/>
  <c r="K47" i="7"/>
  <c r="K19" i="7"/>
  <c r="K18" i="7"/>
  <c r="AA18" i="7" s="1"/>
  <c r="K40" i="7"/>
  <c r="K39" i="7"/>
  <c r="K42" i="7"/>
  <c r="K34" i="7"/>
  <c r="K13" i="7"/>
  <c r="K26" i="7"/>
  <c r="AA26" i="7" s="1"/>
  <c r="K49" i="7"/>
  <c r="I12" i="10"/>
  <c r="I8" i="7"/>
  <c r="K8" i="7"/>
  <c r="AA5" i="7"/>
  <c r="AC5" i="7" s="1"/>
  <c r="AE5" i="7" s="1"/>
  <c r="I29" i="10"/>
  <c r="I49" i="10"/>
  <c r="K39" i="10"/>
  <c r="J49" i="10"/>
  <c r="AF14" i="10"/>
  <c r="I21" i="10"/>
  <c r="I72" i="10"/>
  <c r="I59" i="10"/>
  <c r="AC4" i="7"/>
  <c r="I15" i="7"/>
  <c r="I22" i="7"/>
  <c r="AC20" i="7"/>
  <c r="AE20" i="7" s="1"/>
  <c r="I50" i="7"/>
  <c r="AC17" i="7"/>
  <c r="AE17" i="7" s="1"/>
  <c r="I43" i="7"/>
  <c r="I35" i="7"/>
  <c r="I37" i="10"/>
  <c r="J12" i="10"/>
  <c r="AB51" i="7"/>
  <c r="E51" i="7"/>
  <c r="Y51" i="7"/>
  <c r="F51" i="7"/>
  <c r="AB73" i="10"/>
  <c r="AF6" i="10"/>
  <c r="D51" i="7"/>
  <c r="I73" i="10" l="1"/>
  <c r="AD17" i="10"/>
  <c r="AF17" i="10" s="1"/>
  <c r="AD19" i="10"/>
  <c r="AF19" i="10" s="1"/>
  <c r="AD61" i="10"/>
  <c r="AF61" i="10" s="1"/>
  <c r="AD70" i="10"/>
  <c r="AF70" i="10" s="1"/>
  <c r="AD69" i="10"/>
  <c r="AF69" i="10" s="1"/>
  <c r="AD68" i="10"/>
  <c r="AF68" i="10" s="1"/>
  <c r="AD12" i="10"/>
  <c r="AA38" i="7"/>
  <c r="AC38" i="7" s="1"/>
  <c r="AE38" i="7" s="1"/>
  <c r="AA39" i="7"/>
  <c r="AC39" i="7" s="1"/>
  <c r="AE39" i="7" s="1"/>
  <c r="AA31" i="7"/>
  <c r="AC31" i="7" s="1"/>
  <c r="AE31" i="7" s="1"/>
  <c r="AA47" i="7"/>
  <c r="AC47" i="7" s="1"/>
  <c r="AE47" i="7" s="1"/>
  <c r="AA49" i="7"/>
  <c r="AC49" i="7" s="1"/>
  <c r="AE49" i="7" s="1"/>
  <c r="AA42" i="7"/>
  <c r="AC42" i="7" s="1"/>
  <c r="AE42" i="7" s="1"/>
  <c r="AA40" i="7"/>
  <c r="AC40" i="7" s="1"/>
  <c r="AE40" i="7" s="1"/>
  <c r="AA34" i="7"/>
  <c r="AC34" i="7" s="1"/>
  <c r="AE34" i="7" s="1"/>
  <c r="AA19" i="7"/>
  <c r="AC19" i="7" s="1"/>
  <c r="AE19" i="7" s="1"/>
  <c r="AA13" i="7"/>
  <c r="AC13" i="7" s="1"/>
  <c r="AE13" i="7" s="1"/>
  <c r="AA11" i="7"/>
  <c r="AC11" i="7" s="1"/>
  <c r="AE11" i="7" s="1"/>
  <c r="AE8" i="7"/>
  <c r="AC26" i="7"/>
  <c r="AE26" i="7" s="1"/>
  <c r="AE28" i="7" s="1"/>
  <c r="K28" i="7"/>
  <c r="K22" i="7"/>
  <c r="AC18" i="7"/>
  <c r="AE18" i="7" s="1"/>
  <c r="K49" i="10"/>
  <c r="K59" i="10"/>
  <c r="K21" i="10"/>
  <c r="K72" i="10"/>
  <c r="AD49" i="10"/>
  <c r="K29" i="10"/>
  <c r="I51" i="7"/>
  <c r="K43" i="7"/>
  <c r="AC37" i="7"/>
  <c r="AE37" i="7" s="1"/>
  <c r="K15" i="7"/>
  <c r="AC10" i="7"/>
  <c r="AE10" i="7" s="1"/>
  <c r="K35" i="7"/>
  <c r="AC30" i="7"/>
  <c r="AE30" i="7" s="1"/>
  <c r="AC45" i="7"/>
  <c r="AE45" i="7" s="1"/>
  <c r="K50" i="7"/>
  <c r="K37" i="10"/>
  <c r="K6" i="10"/>
  <c r="K12" i="10" s="1"/>
  <c r="J73" i="10"/>
  <c r="AD72" i="10" l="1"/>
  <c r="AE50" i="7"/>
  <c r="AE43" i="7"/>
  <c r="AE35" i="7"/>
  <c r="AE22" i="7"/>
  <c r="AE15" i="7"/>
  <c r="AA22" i="7"/>
  <c r="AF23" i="10"/>
  <c r="AD21" i="10"/>
  <c r="AD59" i="10"/>
  <c r="AF51" i="10"/>
  <c r="AC22" i="7"/>
  <c r="AA50" i="7"/>
  <c r="AA35" i="7"/>
  <c r="AC35" i="7"/>
  <c r="AA15" i="7"/>
  <c r="AA43" i="7"/>
  <c r="K51" i="7"/>
  <c r="K73" i="10"/>
  <c r="AD37" i="10"/>
  <c r="AF31" i="10"/>
  <c r="AF39" i="10"/>
  <c r="AF49" i="10" s="1"/>
  <c r="AD73" i="10" l="1"/>
  <c r="AF12" i="10"/>
  <c r="AE51" i="7"/>
  <c r="AF72" i="10"/>
  <c r="AF59" i="10"/>
  <c r="AF29" i="10"/>
  <c r="AF21" i="10"/>
  <c r="AA51" i="7"/>
  <c r="AC43" i="7"/>
  <c r="AC15" i="7"/>
  <c r="AC50" i="7"/>
  <c r="AF37" i="10"/>
  <c r="AC51" i="7" l="1"/>
  <c r="AF7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tc={AB12D926-C4E9-449D-9498-770133E2DB9A}</author>
    <author>tc={08E9D2DB-7CA2-4EE9-B1E0-0FA365C90821}</author>
    <author>tc={88800968-770A-492F-802F-B89A50FB6350}</author>
    <author>tc={A5D1E83C-4D8D-4E94-B003-0334F95658CD}</author>
    <author>tc={6C75F399-54C7-492F-9285-051F96B10492}</author>
    <author>tc={BA6A9678-7B29-4609-96E1-0FB2CEA7AE2C}</author>
    <author>tc={1E42DBD0-9599-4B05-947D-F3E32769DB06}</author>
    <author>tc={5B095C43-423C-413A-9E78-F472EF6B3713}</author>
    <author>tc={D0DE7552-B149-45D7-A2FE-D8CD07CC6B10}</author>
    <author>tc={BB224197-42D8-477E-B8F6-604C994EDB72}</author>
    <author>tc={F26CC034-04AA-40EC-BBFA-2C8CBE91E36E}</author>
    <author>tc={9CACF358-AB0A-43F7-A270-61CCB9E87770}</author>
    <author>tc={ABA8FF3C-293C-451A-8D99-0E0E2255C272}</author>
    <author>tc={28F8D7D3-F418-4B43-A34F-A4955F7313F3}</author>
    <author>tc={E83E0C1D-3FE5-4E0E-AD0A-DA1594E5ABC5}</author>
    <author>tc={01564088-F46E-4E63-AD99-38E4834AE62A}</author>
    <author>tc={D48F2E83-A916-409E-9CF1-E1643F6D3996}</author>
    <author>tc={30EB2F7F-7203-4A62-99E9-BD8F0EA8F001}</author>
    <author>tc={B18D1A77-C272-408F-9523-1CB976D5EC9D}</author>
    <author>tc={31575C06-8942-4A73-AD7A-8279F7581C76}</author>
    <author>tc={54A8879A-6113-4D08-B02D-7D4760E8536C}</author>
    <author>tc={A16A9811-7980-4EBE-B90F-0C32F195B01D}</author>
    <author>tc={0D1FC1BF-F943-40B1-9075-E84ECAA20BC9}</author>
    <author>tc={202E9EA4-289F-47B5-9061-C2DA8BE11D10}</author>
    <author>tc={20A8A6F9-7264-441C-853A-91EBD36DBCEF}</author>
    <author>tc={543770E7-1800-40B0-A480-33A9EBF25EF1}</author>
  </authors>
  <commentList>
    <comment ref="M13" authorId="0" shapeId="0" xr:uid="{AB12D926-C4E9-449D-9498-770133E2DB9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Metalik renkli</t>
      </text>
    </comment>
    <comment ref="P13" authorId="1" shapeId="0" xr:uid="{08E9D2DB-7CA2-4EE9-B1E0-0FA365C90821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Metalik renkli</t>
      </text>
    </comment>
    <comment ref="D14" authorId="2" shapeId="0" xr:uid="{88800968-770A-492F-802F-B89A50FB6350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Premium 1.0 = 2</t>
      </text>
    </comment>
    <comment ref="E14" authorId="3" shapeId="0" xr:uid="{A5D1E83C-4D8D-4E94-B003-0334F95658CD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Premium 1.0 = 2</t>
      </text>
    </comment>
    <comment ref="M19" authorId="4" shapeId="0" xr:uid="{6C75F399-54C7-492F-9285-051F96B10492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Metalik renkli</t>
      </text>
    </comment>
    <comment ref="P19" authorId="5" shapeId="0" xr:uid="{BA6A9678-7B29-4609-96E1-0FB2CEA7AE2C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Metalik renkli</t>
      </text>
    </comment>
    <comment ref="F21" authorId="6" shapeId="0" xr:uid="{1E42DBD0-9599-4B05-947D-F3E32769DB06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Elite 1.0 = 3</t>
      </text>
    </comment>
    <comment ref="E27" authorId="7" shapeId="0" xr:uid="{5B095C43-423C-413A-9E78-F472EF6B3713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Elite 1.5 = 2
Prestige 1.5 = 1
Sportline 1.5 = 5</t>
      </text>
    </comment>
    <comment ref="V31" authorId="8" shapeId="0" xr:uid="{D0DE7552-B149-45D7-A2FE-D8CD07CC6B10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Yeni 40</t>
      </text>
    </comment>
    <comment ref="E34" authorId="9" shapeId="0" xr:uid="{BB224197-42D8-477E-B8F6-604C994EDB72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Elite 1.5 = 1</t>
      </text>
    </comment>
    <comment ref="F34" authorId="10" shapeId="0" xr:uid="{F26CC034-04AA-40EC-BBFA-2C8CBE91E36E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Elite 1,5 TSI  = 1</t>
      </text>
    </comment>
    <comment ref="V34" authorId="11" shapeId="0" xr:uid="{9CACF358-AB0A-43F7-A270-61CCB9E87770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NG Premium 1.5 = 23
NG Prestige 1.5 = 39</t>
      </text>
    </comment>
    <comment ref="D42" authorId="12" shapeId="0" xr:uid="{ABA8FF3C-293C-451A-8D99-0E0E2255C272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Prestige 1.5 = 1</t>
      </text>
    </comment>
    <comment ref="E42" authorId="13" shapeId="0" xr:uid="{28F8D7D3-F418-4B43-A34F-A4955F7313F3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Sportline 1.5 = 1</t>
      </text>
    </comment>
    <comment ref="F42" authorId="14" shapeId="0" xr:uid="{E83E0C1D-3FE5-4E0E-AD0A-DA1594E5ABC5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Sportline 1.5=1
</t>
      </text>
    </comment>
    <comment ref="X42" authorId="15" shapeId="0" xr:uid="{01564088-F46E-4E63-AD99-38E4834AE62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Prestige 1.5=1</t>
      </text>
    </comment>
    <comment ref="D49" authorId="16" shapeId="0" xr:uid="{D48F2E83-A916-409E-9CF1-E1643F6D3996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NG L&amp;K 2.0 TDI = 4
NG L&amp;K 2.0 TSI = 2
NG Combi L&amp;K 1.5 = 1
NG Combi Prestige 1.5 = 1
</t>
      </text>
    </comment>
    <comment ref="E49" authorId="17" shapeId="0" xr:uid="{30EB2F7F-7203-4A62-99E9-BD8F0EA8F001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Combi Scout 1.5 = 1
NG L&amp;K 2.0 TDI = 2
NG L&amp;K 2.0 TSI = 2
NG Combi L&amp;K 1.5 = 1
NG Combi Prestige 1.5 = 2
</t>
      </text>
    </comment>
    <comment ref="F49" authorId="18" shapeId="0" xr:uid="{B18D1A77-C272-408F-9523-1CB976D5EC9D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Combi Scout 1,5 = 4
Combi Sportline 1,5 = 1
NG L&amp;K 2.0 TDI = 2
NG Combi L&amp;K 1.5 = 2
NG Combi Prestige 1.5 = 3
</t>
      </text>
    </comment>
    <comment ref="G49" authorId="19" shapeId="0" xr:uid="{31575C06-8942-4A73-AD7A-8279F7581C76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NG L&amp;K 2.0 TDI = 16
NG L&amp;K 2.0 TSI = 6
NG Combi L&amp;K 1.5 = 3
NG Combi Prestige 1.5 = 6</t>
      </text>
    </comment>
    <comment ref="I49" authorId="20" shapeId="0" xr:uid="{54A8879A-6113-4D08-B02D-7D4760E8536C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NG Combi prestige = 3</t>
      </text>
    </comment>
    <comment ref="V49" authorId="21" shapeId="0" xr:uid="{A16A9811-7980-4EBE-B90F-0C32F195B01D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Yeni L&amp;K 2.0 TDI = 2
Yeni L&amp;K 2.0 TSI = 3
</t>
      </text>
    </comment>
    <comment ref="W49" authorId="22" shapeId="0" xr:uid="{0D1FC1BF-F943-40B1-9075-E84ECAA20BC9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Yeni L&amp;K 2.0 TDI = 1
Yeni L&amp;K 2.0 TSI = 2</t>
      </text>
    </comment>
    <comment ref="X49" authorId="23" shapeId="0" xr:uid="{202E9EA4-289F-47B5-9061-C2DA8BE11D10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NG L&amp;K 2.0 TDI = 15
NG L&amp;K 2.0 TSI = 79
NG Combi Prestige 1.5 = 1</t>
      </text>
    </comment>
    <comment ref="Y49" authorId="24" shapeId="0" xr:uid="{20A8A6F9-7264-441C-853A-91EBD36DBCEF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Yeni L&amp;K 2.0 TDI = 15
Yeni L&amp;K 2.0 TSI = 79
Yeni Combi L&amp;K 1.5 = 0
Yeni Combi Prestige = 1
</t>
      </text>
    </comment>
    <comment ref="AD49" authorId="25" shapeId="0" xr:uid="{543770E7-1800-40B0-A480-33A9EBF25EF1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Yeni L&amp;K 2.0 TDI = 46
Yeni L&amp;K 2.0 TSI = 105
Yeni Combi Prestige 1,5 = 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tc={EFFA98E8-E449-4D11-B0ED-CCF05AB2A0FF}</author>
    <author>tc={1A770980-2621-4CFB-96C3-C0EC767FC565}</author>
  </authors>
  <commentList>
    <comment ref="P24" authorId="0" shapeId="0" xr:uid="{EFFA98E8-E449-4D11-B0ED-CCF05AB2A0F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1.242.000 TL Dip Fiyat</t>
      </text>
    </comment>
    <comment ref="P32" authorId="1" shapeId="0" xr:uid="{1A770980-2621-4CFB-96C3-C0EC767FC565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1.350.000 TL Dip Fiyat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tc={EC3BA52E-0486-44D2-90B1-0472BB652CA8}</author>
    <author>tc={A568F4DE-F137-4295-B772-CF2A5CCB37F9}</author>
    <author>tc={74792878-5A0A-4CBD-9B73-262765291ECA}</author>
    <author>tc={8A172DBC-5833-4B38-A36B-A29401447E2E}</author>
    <author>tc={8684B176-06A8-4B5C-BCD4-7487371A7AA4}</author>
    <author>tc={773CBA01-B386-45F6-92D7-05AF761E5708}</author>
    <author>tc={9565B0AD-B162-4DB5-9385-AE1CBCDA7567}</author>
    <author>tc={DF670784-A10F-4C93-B656-DBC4A218E907}</author>
    <author>tc={6FF9BFFC-08C5-428F-9026-B93569ECE38A}</author>
    <author>tc={B5D4C6C5-3815-4A40-A857-1CCD862721E9}</author>
    <author>tc={B0CADA8C-FBE9-420D-99D3-CA0BB4FAF50B}</author>
    <author>tc={145E29F7-1F93-4CD1-A35E-E7E533222B44}</author>
    <author>tc={ED2E4856-88C4-4838-AEAE-C002262AEA47}</author>
    <author>tc={EBD56B23-55AF-4D21-AF62-E5F4BC77AD24}</author>
    <author>tc={BFC87EB5-3634-4504-8B36-D2784A5B82D0}</author>
    <author>tc={DB464AE8-4CBE-44E3-A2DD-763581494C68}</author>
  </authors>
  <commentList>
    <comment ref="AD14" authorId="0" shapeId="0" xr:uid="{EC3BA52E-0486-44D2-90B1-0472BB652CA8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Perakendeden ek alınabilir.</t>
      </text>
    </comment>
    <comment ref="O17" authorId="1" shapeId="0" xr:uid="{A568F4DE-F137-4295-B772-CF2A5CCB37F9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1.242.000 TL Dip Fiyat</t>
      </text>
    </comment>
    <comment ref="O18" authorId="2" shapeId="0" xr:uid="{74792878-5A0A-4CBD-9B73-262765291EC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1.350.000 TL Dip Fiyat</t>
      </text>
    </comment>
    <comment ref="D20" authorId="3" shapeId="0" xr:uid="{8A172DBC-5833-4B38-A36B-A29401447E2E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Scala Elite 1.0 = 14</t>
      </text>
    </comment>
    <comment ref="E20" authorId="4" shapeId="0" xr:uid="{8684B176-06A8-4B5C-BCD4-7487371A7AA4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Scala Elite 1.0 = 14</t>
      </text>
    </comment>
    <comment ref="G20" authorId="5" shapeId="0" xr:uid="{773CBA01-B386-45F6-92D7-05AF761E5708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Prem 1.0 = 1</t>
      </text>
    </comment>
    <comment ref="AD23" authorId="6" shapeId="0" xr:uid="{9565B0AD-B162-4DB5-9385-AE1CBCDA7567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Perakendeye verilebilir.</t>
      </text>
    </comment>
    <comment ref="AD24" authorId="7" shapeId="0" xr:uid="{DF670784-A10F-4C93-B656-DBC4A218E907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Perakendeye verilebilir.</t>
      </text>
    </comment>
    <comment ref="AD36" authorId="8" shapeId="0" xr:uid="{6FF9BFFC-08C5-428F-9026-B93569ECE38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Perakendeye verilebilir.</t>
      </text>
    </comment>
    <comment ref="D48" authorId="9" shapeId="0" xr:uid="{B5D4C6C5-3815-4A40-A857-1CCD862721E9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Jandarma Proje Araçları=300</t>
      </text>
    </comment>
    <comment ref="AD51" authorId="10" shapeId="0" xr:uid="{B0CADA8C-FBE9-420D-99D3-CA0BB4FAF50B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Perakendeden ek alınabilir.</t>
      </text>
    </comment>
    <comment ref="D71" authorId="11" shapeId="0" xr:uid="{145E29F7-1F93-4CD1-A35E-E7E533222B44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NG L&amp;K 2.0 TDI = 4
NG L&amp;K 2.0 TSI = 6</t>
      </text>
    </comment>
    <comment ref="E71" authorId="12" shapeId="0" xr:uid="{ED2E4856-88C4-4838-AEAE-C002262AEA47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NG L&amp;K 2.0 TDI = 3
NG L&amp;K 2.0 TSI = 5</t>
      </text>
    </comment>
    <comment ref="Y71" authorId="13" shapeId="0" xr:uid="{EBD56B23-55AF-4D21-AF62-E5F4BC77AD24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Yeni L&amp;K 2,0 TDI=
Yeni L&amp;K 2,0 TSI=2
</t>
      </text>
    </comment>
    <comment ref="AA71" authorId="14" shapeId="0" xr:uid="{BFC87EB5-3634-4504-8B36-D2784A5B82D0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Yeni L&amp;K 2,0 TDI=1
Yeni L&amp;K 2,0 TSI=2
</t>
      </text>
    </comment>
    <comment ref="AB71" authorId="15" shapeId="0" xr:uid="{DB464AE8-4CBE-44E3-A2DD-763581494C68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Yeni L&amp;K 2,0 TDI=1
Yeni L&amp;K 2,0 TSI=2
</t>
      </text>
    </comment>
  </commentList>
</comments>
</file>

<file path=xl/sharedStrings.xml><?xml version="1.0" encoding="utf-8"?>
<sst xmlns="http://schemas.openxmlformats.org/spreadsheetml/2006/main" count="361" uniqueCount="156">
  <si>
    <t>YS STOK</t>
  </si>
  <si>
    <t xml:space="preserve">STOK+ FİKTİF </t>
  </si>
  <si>
    <t>PLANLANAN LİSTE FİYAT DEĞİŞİMİ</t>
  </si>
  <si>
    <t>YETKİLİ SATICI DERİNLİK</t>
  </si>
  <si>
    <t xml:space="preserve"> FABIA</t>
  </si>
  <si>
    <t>Fabia Elite 1,0 TSI 95 PS</t>
  </si>
  <si>
    <t>Yeni Fabia Premium 1,0 TSI 115 PS DSG</t>
  </si>
  <si>
    <t>Yeni Fabia Monte Carlo 1,5 TSI 150 PS DSG</t>
  </si>
  <si>
    <t>Diğer</t>
  </si>
  <si>
    <t>FABIA TOPLAM</t>
  </si>
  <si>
    <t>SCALA</t>
  </si>
  <si>
    <t>Yeni Scala Elite 1,0 TSI 115 PS DSG</t>
  </si>
  <si>
    <t>150.000 12 Ay 0%</t>
  </si>
  <si>
    <t>Yeni Scala Premium 1,0 TSI 115 PS DSG</t>
  </si>
  <si>
    <t>Yeni Scala Premium 1,5 TSI 150 PS DSG</t>
  </si>
  <si>
    <t>Yeni Scala Monte Carlo 1,5 TSI 150 PS DSG</t>
  </si>
  <si>
    <t>-</t>
  </si>
  <si>
    <t>SCALA TOPLAM</t>
  </si>
  <si>
    <t>KAMIQ</t>
  </si>
  <si>
    <t>Yeni Kamiq Elite 1,0 TSI 115 PS DSG</t>
  </si>
  <si>
    <t>Yeni Kamiq Premium 1,0 TSI 115 PS DSG</t>
  </si>
  <si>
    <t>Yeni Kamiq Premium 1,5 TSI 150 PS DSG</t>
  </si>
  <si>
    <t>Yeni Kamiq Monte Carlo 1,5 TSI 150 PS DSG</t>
  </si>
  <si>
    <t>KAMIQ TOPLAM</t>
  </si>
  <si>
    <t>KAROQ</t>
  </si>
  <si>
    <t>Karoq Premium 1,5 TSI ACT 150 PS DSG (Yeni)</t>
  </si>
  <si>
    <t>Karoq Prestige 1,5 TSI ACT 150 PS DSG (Yeni)</t>
  </si>
  <si>
    <t>Karoq Sportline 1,5 TSI ACT 150 PS DSG (Yeni)</t>
  </si>
  <si>
    <t>KAROQ TOPLAM</t>
  </si>
  <si>
    <t>KODIAQ</t>
  </si>
  <si>
    <t>Kodiaq Prestige 1,5 TSI ACT 150 PS DSG</t>
  </si>
  <si>
    <t>Kodiaq Sportline 1,5 TSI ACT 150 PS DSG</t>
  </si>
  <si>
    <t>KODIAQ TOPLAM</t>
  </si>
  <si>
    <t>OCTAVIA</t>
  </si>
  <si>
    <t>Octavia Elite 1,0 TSI E-Tec 110 PS DSG</t>
  </si>
  <si>
    <t>Octavia Elite 1,5 TSI E-Tec 150 PS DSG</t>
  </si>
  <si>
    <t>Octavia Premium 1,0 TSI E-Tec 110 PS DSG</t>
  </si>
  <si>
    <t>Octavia Premium 1,5 TSI E-Tec 150 PS DSG</t>
  </si>
  <si>
    <t>OCTAVIA TOPLAM</t>
  </si>
  <si>
    <t>SUPERB</t>
  </si>
  <si>
    <t>Yeni Superb Elite 1,5 TSI mHEV 150 PS DSG</t>
  </si>
  <si>
    <t>Yeni Superb Premium 1,5 TSI mHEV 150 PS DSG</t>
  </si>
  <si>
    <t>Yeni Superb Prestige 1,5 TSI mHEV 150 PS DSG</t>
  </si>
  <si>
    <t>Yeni Superb Laurin &amp; Klement 1,5 TSI mHEV 150 PS DSG</t>
  </si>
  <si>
    <t>SUPERB TOPLAM</t>
  </si>
  <si>
    <t>GENEL TOPLAM</t>
  </si>
  <si>
    <t>Octavia Prestige 1,5 TSI E-Tec 150 PS DSG</t>
  </si>
  <si>
    <t>1 NİSAN 2023 FİLO FİYAT</t>
  </si>
  <si>
    <t>KREDİ KAMPANYALARI</t>
  </si>
  <si>
    <t>KALAN TEMMUZ GELİŞ</t>
  </si>
  <si>
    <t>AĞUSTOS DEVİR</t>
  </si>
  <si>
    <t>Yeni Kodiaq Premium 1,5 TSI mHEV 150 PS DSG</t>
  </si>
  <si>
    <t>Yeni Kodiaq Prestige 1,5 TSI mHEV 150 PS DSG</t>
  </si>
  <si>
    <t>Yeni Octavia Premium 1,5 TSI mHEV 150 PS DSG</t>
  </si>
  <si>
    <t>TEMMUZ KALAN GELİŞ</t>
  </si>
  <si>
    <t>3 Haziran 2024 LİSTE FİYATI</t>
  </si>
  <si>
    <t>3 Haziran 2024 KAMPANYALI FİYAT</t>
  </si>
  <si>
    <t>1 Temmuz 2024 LİSTE FİYATI</t>
  </si>
  <si>
    <t>1 Temmuz 2024 KAMPANYALI FİYAT</t>
  </si>
  <si>
    <t>1 Temmuz 2024 KAMPANYALI FİYAT DEĞİŞİMİ</t>
  </si>
  <si>
    <t>150.000 12 Ay 0,99</t>
  </si>
  <si>
    <t>Diğer (Eski Karoq)</t>
  </si>
  <si>
    <t>250.000 TL 0 Faiz</t>
  </si>
  <si>
    <t>200.000 TL 12 Ay 0%</t>
  </si>
  <si>
    <t>Tüzel 500.000 TL 12 Ay 1,99%</t>
  </si>
  <si>
    <t>Tüzel Müşteri Kredi</t>
  </si>
  <si>
    <t>AĞUSTOS KURGU</t>
  </si>
  <si>
    <t>TEMMUZ TOPTAN</t>
  </si>
  <si>
    <t>TEMMUZ PERAKENDE</t>
  </si>
  <si>
    <t>Temmuz Max Potansiyeli</t>
  </si>
  <si>
    <t>Temmuz Perakende Öngörüsü</t>
  </si>
  <si>
    <t>Ağustos Devir</t>
  </si>
  <si>
    <t>TOPLAM AĞUSTOS GELİŞ</t>
  </si>
  <si>
    <t>AĞUSTOS MAX PERAKENDE POTANSİYELİ</t>
  </si>
  <si>
    <t xml:space="preserve">AĞUSTOS Satış Öngörü </t>
  </si>
  <si>
    <t xml:space="preserve">EYLÜL DEVİR </t>
  </si>
  <si>
    <t>EYLÜL TAHMİNİ GELİŞ</t>
  </si>
  <si>
    <t>EYLÜL MAX POTANSİYEL</t>
  </si>
  <si>
    <t>KALAN AĞUSTOS GELİŞ</t>
  </si>
  <si>
    <t>Temmuz TOPTAN</t>
  </si>
  <si>
    <t>Temmuz PERAKENDE</t>
  </si>
  <si>
    <t>AĞUSTOS KALAN GELİŞ</t>
  </si>
  <si>
    <t>AĞUSOTS Satış Öngörü</t>
  </si>
  <si>
    <t>AĞUSTOS KURGU 31.07 (PERAKENDE)</t>
  </si>
  <si>
    <t>AĞUSTOS KURGU 31.07 (FİLO)</t>
  </si>
  <si>
    <t>Fabia</t>
  </si>
  <si>
    <t>Fabia Premium 1,0 TSI 115 PS DSG (Yeni)</t>
  </si>
  <si>
    <t>Kamiq</t>
  </si>
  <si>
    <t>Karoq</t>
  </si>
  <si>
    <t>Kodiaq</t>
  </si>
  <si>
    <t>Octavia</t>
  </si>
  <si>
    <t>Scala</t>
  </si>
  <si>
    <t>Yeni Octavia</t>
  </si>
  <si>
    <t>Yeni Superb</t>
  </si>
  <si>
    <t>Superb (Diğer)</t>
  </si>
  <si>
    <t>Yeni Superb Laurin &amp; Klement Crystal 1,5 TSI mHEV 150 PS DSG</t>
  </si>
  <si>
    <t>Scala Premium 1,0 TSI 110 PS DSG</t>
  </si>
  <si>
    <t>Yeni Kodiaq</t>
  </si>
  <si>
    <t>Stok Fiktif</t>
  </si>
  <si>
    <t>YS Stok</t>
  </si>
  <si>
    <t>Perakende</t>
  </si>
  <si>
    <t>Toptan</t>
  </si>
  <si>
    <t>Olması Gereken Sütun İsimleri</t>
  </si>
  <si>
    <t>Toptan Satış</t>
  </si>
  <si>
    <t>Perakende Satış</t>
  </si>
  <si>
    <t>Stok+Fiktif</t>
  </si>
  <si>
    <t>İlgili Ay Maksimum Potansiyel</t>
  </si>
  <si>
    <t>İlgili Ay Perakende Öngörüsü</t>
  </si>
  <si>
    <t>bir sonraki ay geliş</t>
  </si>
  <si>
    <t>bir sonraki ay max potansiyel</t>
  </si>
  <si>
    <t>bir sonraki ay öngörü</t>
  </si>
  <si>
    <t>2 sonraki ay devir</t>
  </si>
  <si>
    <t>Burdaki tüm kolonlar tutulmalıdır. Başlıkları exceli export eden kişi düzeltecektir.</t>
  </si>
  <si>
    <t>Word sorgu no</t>
  </si>
  <si>
    <t>Bir sonraki ay adı + devir</t>
  </si>
  <si>
    <t>Turuncu (formül)</t>
  </si>
  <si>
    <t>Mavi  (sorgu)</t>
  </si>
  <si>
    <t>Fabia Monte Carlo 1,5 TSI 150 PS DSG (Yeni)</t>
  </si>
  <si>
    <t>Scala Elite 1,0 TSI 110 PS DSG</t>
  </si>
  <si>
    <t>Scala Premium 1,5 TSI ACT 150 PS DSG</t>
  </si>
  <si>
    <t>Kamiq Elite 1,0 TSI 110 PS DSG</t>
  </si>
  <si>
    <t>Kamiq Premium 1,5 TSI ACT 150 PS DSG</t>
  </si>
  <si>
    <t>Karoq Elite 1,5 TSI ACT 150 PS DSG</t>
  </si>
  <si>
    <t>Karoq Prestige 1,5 TSI ACT 150 PS DSG</t>
  </si>
  <si>
    <t>Karoq Sportline 1,5 TSI ACT 150 PS DSG</t>
  </si>
  <si>
    <t>Kodiaq Elite 1,5 TSI ACT 150 PS DSG</t>
  </si>
  <si>
    <t>Kodiaq Premium 1,5 TSI ACT 150 PS DSG</t>
  </si>
  <si>
    <t>Kodiaq Sportline 2,0 TDI SCR 200 PS DSG 4x4</t>
  </si>
  <si>
    <t>Kodiaq Laurin &amp; Klement Crystal 2,0 TDI SCR 200 PS DSG 4x4</t>
  </si>
  <si>
    <t>Kodiaq Sportline 1,5 TSI ACT 150 PS DSG (Yeni)</t>
  </si>
  <si>
    <t>Kodiaq (Diğer)</t>
  </si>
  <si>
    <t>Octavia Sportline 1,5 TSI E-Tec 150 PS DSG</t>
  </si>
  <si>
    <t>Octavia (Diğer)</t>
  </si>
  <si>
    <t>Superb Elite 1,5 TSI ACT 150 PS DSG</t>
  </si>
  <si>
    <t>Superb Prestige 1,5 TSI ACT 150 PS DSG</t>
  </si>
  <si>
    <t>Superb Combi Prestige 1,5 TSI ACT 150 PS DSG</t>
  </si>
  <si>
    <t>Superb Laurin &amp; Klement Crystal 1,5 TSI ACT 150 PS DSG</t>
  </si>
  <si>
    <t>Superb Laurin &amp; Klement Crystal 2,0 TDI SCR 200 PS DSG 4x4</t>
  </si>
  <si>
    <t>Superb Laurin &amp; Klement Crystal 2,0 TSI 280 PS DSG 4X4</t>
  </si>
  <si>
    <t>Fabia Elite 1,0 TSI 110 PS DSG</t>
  </si>
  <si>
    <t>Fabia Premium 1,0 TSI 110 PS DSG</t>
  </si>
  <si>
    <t>Fabia Monte Carlo 1,5 TSI 150 PS DSG</t>
  </si>
  <si>
    <t>Fabia Toplam</t>
  </si>
  <si>
    <t>Scala Toplam</t>
  </si>
  <si>
    <t>Octavia Toplam</t>
  </si>
  <si>
    <t>Superb Toplam</t>
  </si>
  <si>
    <t>Kamiq Toplam</t>
  </si>
  <si>
    <t>Karoq Toplam</t>
  </si>
  <si>
    <t>Kodiaq Toplam</t>
  </si>
  <si>
    <t>{BU_AY} KURGU {TARİH}</t>
  </si>
  <si>
    <t>{BU_AY} TOPTAN</t>
  </si>
  <si>
    <t>{BU_AY} PERAKENDE</t>
  </si>
  <si>
    <t>{BU_AY} MAX POTANSİYELİ</t>
  </si>
  <si>
    <t>{BU_AY} PERAKENDE ÖNGÖRÜSÜ</t>
  </si>
  <si>
    <t>{BU_AY} DEVİR</t>
  </si>
  <si>
    <t>{BU_AY} GELİŞ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</si>
</sst>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</font>
    <font>
      <b/>
      <sz val="18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2"/>
      <color theme="0"/>
      <name val="Arial"/>
      <family val="2"/>
      <charset val="162"/>
    </font>
    <font>
      <b/>
      <sz val="12"/>
      <color theme="1" tint="4.9989318521683403E-2"/>
      <name val="Arial"/>
      <family val="2"/>
      <charset val="162"/>
    </font>
    <font>
      <b/>
      <sz val="10"/>
      <color theme="0"/>
      <name val="Arial"/>
      <family val="2"/>
      <charset val="162"/>
    </font>
    <font>
      <b/>
      <sz val="9"/>
      <color theme="0"/>
      <name val="Arial"/>
      <family val="2"/>
      <charset val="162"/>
    </font>
    <font>
      <b/>
      <sz val="9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b/>
      <sz val="11"/>
      <color theme="0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4"/>
      <color theme="1"/>
      <name val="Calibri"/>
      <family val="2"/>
      <charset val="162"/>
      <scheme val="minor"/>
    </font>
    <font>
      <b/>
      <sz val="11"/>
      <name val="Arial"/>
      <family val="2"/>
      <charset val="162"/>
    </font>
    <font>
      <sz val="9"/>
      <color theme="1"/>
      <name val="Arial"/>
      <family val="2"/>
      <charset val="162"/>
    </font>
    <font>
      <sz val="11"/>
      <name val="Arial"/>
      <family val="2"/>
      <charset val="162"/>
    </font>
    <font>
      <sz val="1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10"/>
      <color theme="0"/>
      <name val="Arial"/>
      <family val="2"/>
      <charset val="162"/>
    </font>
    <font>
      <sz val="9"/>
      <color theme="1"/>
      <name val="Arial"/>
      <family val="2"/>
      <charset val="162"/>
    </font>
    <font>
      <sz val="10"/>
      <name val="Arial"/>
      <family val="2"/>
      <charset val="162"/>
    </font>
    <font>
      <sz val="9"/>
      <name val="Arial"/>
      <family val="2"/>
      <charset val="162"/>
    </font>
    <font>
      <b/>
      <sz val="1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1"/>
      <color theme="1" tint="4.9989318521683403E-2"/>
      <name val="Arial"/>
      <family val="2"/>
      <charset val="162"/>
    </font>
  </fonts>
  <fills count="3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E3A2F"/>
        <bgColor indexed="64"/>
      </patternFill>
    </fill>
    <fill>
      <patternFill patternType="solid">
        <fgColor rgb="FFFAEB67"/>
        <bgColor indexed="64"/>
      </patternFill>
    </fill>
    <fill>
      <patternFill patternType="solid">
        <fgColor rgb="FFF7B046"/>
        <bgColor indexed="64"/>
      </patternFill>
    </fill>
    <fill>
      <patternFill patternType="solid">
        <fgColor rgb="FF1ED4DF"/>
        <bgColor indexed="64"/>
      </patternFill>
    </fill>
    <fill>
      <patternFill patternType="solid">
        <fgColor rgb="FF78FAAE"/>
        <bgColor indexed="64"/>
      </patternFill>
    </fill>
    <fill>
      <patternFill patternType="solid">
        <fgColor rgb="FFF1525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/>
  </cellStyleXfs>
  <cellXfs count="25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3" fontId="11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11" fillId="0" borderId="9" xfId="1" applyNumberFormat="1" applyFont="1" applyFill="1" applyBorder="1" applyAlignment="1">
      <alignment horizontal="center" vertical="center" wrapText="1"/>
    </xf>
    <xf numFmtId="164" fontId="11" fillId="8" borderId="9" xfId="1" applyNumberFormat="1" applyFont="1" applyFill="1" applyBorder="1" applyAlignment="1">
      <alignment horizontal="center" vertical="center"/>
    </xf>
    <xf numFmtId="164" fontId="11" fillId="0" borderId="9" xfId="1" applyNumberFormat="1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left"/>
    </xf>
    <xf numFmtId="3" fontId="14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3" fontId="0" fillId="0" borderId="9" xfId="0" applyNumberFormat="1" applyBorder="1" applyAlignment="1">
      <alignment horizontal="center"/>
    </xf>
    <xf numFmtId="3" fontId="11" fillId="8" borderId="9" xfId="0" applyNumberFormat="1" applyFont="1" applyFill="1" applyBorder="1" applyAlignment="1">
      <alignment horizontal="center" vertical="center"/>
    </xf>
    <xf numFmtId="0" fontId="13" fillId="0" borderId="0" xfId="0" applyFont="1"/>
    <xf numFmtId="0" fontId="10" fillId="8" borderId="0" xfId="0" applyFont="1" applyFill="1"/>
    <xf numFmtId="3" fontId="0" fillId="8" borderId="0" xfId="0" applyNumberFormat="1" applyFill="1"/>
    <xf numFmtId="3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/>
    <xf numFmtId="3" fontId="0" fillId="8" borderId="0" xfId="0" applyNumberFormat="1" applyFill="1" applyAlignment="1">
      <alignment horizontal="center" vertical="center"/>
    </xf>
    <xf numFmtId="3" fontId="11" fillId="8" borderId="0" xfId="0" applyNumberFormat="1" applyFont="1" applyFill="1" applyAlignment="1">
      <alignment horizontal="center"/>
    </xf>
    <xf numFmtId="3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0" fillId="0" borderId="9" xfId="0" applyBorder="1" applyAlignment="1">
      <alignment horizontal="center" vertical="center"/>
    </xf>
    <xf numFmtId="3" fontId="9" fillId="0" borderId="13" xfId="0" applyNumberFormat="1" applyFont="1" applyBorder="1" applyAlignment="1">
      <alignment vertical="center"/>
    </xf>
    <xf numFmtId="3" fontId="11" fillId="0" borderId="0" xfId="0" applyNumberFormat="1" applyFont="1" applyAlignment="1">
      <alignment horizontal="center" vertical="center"/>
    </xf>
    <xf numFmtId="0" fontId="0" fillId="0" borderId="9" xfId="0" applyBorder="1" applyAlignment="1">
      <alignment horizontal="center"/>
    </xf>
    <xf numFmtId="0" fontId="13" fillId="0" borderId="5" xfId="0" applyFont="1" applyBorder="1" applyAlignment="1">
      <alignment horizontal="center" wrapText="1"/>
    </xf>
    <xf numFmtId="3" fontId="11" fillId="0" borderId="18" xfId="0" applyNumberFormat="1" applyFont="1" applyBorder="1" applyAlignment="1">
      <alignment horizontal="center" vertical="center"/>
    </xf>
    <xf numFmtId="3" fontId="13" fillId="3" borderId="11" xfId="0" applyNumberFormat="1" applyFont="1" applyFill="1" applyBorder="1" applyAlignment="1">
      <alignment horizontal="center"/>
    </xf>
    <xf numFmtId="3" fontId="13" fillId="3" borderId="21" xfId="0" applyNumberFormat="1" applyFont="1" applyFill="1" applyBorder="1" applyAlignment="1">
      <alignment horizontal="center"/>
    </xf>
    <xf numFmtId="3" fontId="15" fillId="11" borderId="17" xfId="0" applyNumberFormat="1" applyFont="1" applyFill="1" applyBorder="1" applyAlignment="1">
      <alignment horizontal="center"/>
    </xf>
    <xf numFmtId="3" fontId="15" fillId="11" borderId="20" xfId="0" applyNumberFormat="1" applyFont="1" applyFill="1" applyBorder="1" applyAlignment="1">
      <alignment horizontal="center"/>
    </xf>
    <xf numFmtId="0" fontId="13" fillId="0" borderId="16" xfId="0" applyFont="1" applyBorder="1" applyAlignment="1">
      <alignment horizontal="center" wrapText="1"/>
    </xf>
    <xf numFmtId="3" fontId="13" fillId="0" borderId="22" xfId="0" applyNumberFormat="1" applyFont="1" applyBorder="1" applyAlignment="1">
      <alignment horizontal="center"/>
    </xf>
    <xf numFmtId="0" fontId="13" fillId="0" borderId="23" xfId="0" applyFont="1" applyBorder="1" applyAlignment="1">
      <alignment horizontal="center" wrapText="1"/>
    </xf>
    <xf numFmtId="0" fontId="3" fillId="0" borderId="0" xfId="0" applyFont="1"/>
    <xf numFmtId="3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/>
    </xf>
    <xf numFmtId="3" fontId="13" fillId="3" borderId="25" xfId="0" applyNumberFormat="1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3" fillId="3" borderId="21" xfId="0" applyFont="1" applyFill="1" applyBorder="1" applyAlignment="1">
      <alignment horizontal="center"/>
    </xf>
    <xf numFmtId="3" fontId="13" fillId="3" borderId="26" xfId="0" applyNumberFormat="1" applyFont="1" applyFill="1" applyBorder="1" applyAlignment="1">
      <alignment horizontal="center"/>
    </xf>
    <xf numFmtId="3" fontId="0" fillId="0" borderId="9" xfId="0" applyNumberFormat="1" applyBorder="1"/>
    <xf numFmtId="0" fontId="20" fillId="0" borderId="8" xfId="0" applyFont="1" applyBorder="1" applyAlignment="1">
      <alignment vertical="center"/>
    </xf>
    <xf numFmtId="0" fontId="9" fillId="9" borderId="11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9" fillId="9" borderId="17" xfId="0" applyFont="1" applyFill="1" applyBorder="1" applyAlignment="1">
      <alignment vertical="center"/>
    </xf>
    <xf numFmtId="0" fontId="20" fillId="8" borderId="0" xfId="0" applyFont="1" applyFill="1" applyAlignment="1">
      <alignment vertical="center"/>
    </xf>
    <xf numFmtId="0" fontId="20" fillId="0" borderId="14" xfId="0" applyFont="1" applyBorder="1" applyAlignment="1">
      <alignment vertical="center"/>
    </xf>
    <xf numFmtId="0" fontId="9" fillId="9" borderId="17" xfId="0" applyFont="1" applyFill="1" applyBorder="1" applyAlignment="1">
      <alignment horizontal="left" vertical="center"/>
    </xf>
    <xf numFmtId="0" fontId="8" fillId="11" borderId="17" xfId="0" applyFont="1" applyFill="1" applyBorder="1" applyAlignment="1">
      <alignment vertical="center"/>
    </xf>
    <xf numFmtId="3" fontId="15" fillId="12" borderId="20" xfId="0" applyNumberFormat="1" applyFont="1" applyFill="1" applyBorder="1" applyAlignment="1">
      <alignment horizontal="center"/>
    </xf>
    <xf numFmtId="3" fontId="0" fillId="16" borderId="9" xfId="0" applyNumberFormat="1" applyFill="1" applyBorder="1" applyAlignment="1">
      <alignment horizontal="center"/>
    </xf>
    <xf numFmtId="3" fontId="0" fillId="16" borderId="18" xfId="0" applyNumberFormat="1" applyFill="1" applyBorder="1" applyAlignment="1">
      <alignment horizontal="center"/>
    </xf>
    <xf numFmtId="3" fontId="11" fillId="16" borderId="9" xfId="0" applyNumberFormat="1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vertical="center"/>
    </xf>
    <xf numFmtId="3" fontId="11" fillId="16" borderId="15" xfId="0" applyNumberFormat="1" applyFont="1" applyFill="1" applyBorder="1" applyAlignment="1">
      <alignment horizontal="center" vertical="center"/>
    </xf>
    <xf numFmtId="0" fontId="20" fillId="16" borderId="8" xfId="0" applyFont="1" applyFill="1" applyBorder="1" applyAlignment="1">
      <alignment vertical="center"/>
    </xf>
    <xf numFmtId="3" fontId="11" fillId="16" borderId="18" xfId="0" applyNumberFormat="1" applyFont="1" applyFill="1" applyBorder="1" applyAlignment="1">
      <alignment horizontal="center" vertical="center"/>
    </xf>
    <xf numFmtId="3" fontId="13" fillId="3" borderId="17" xfId="0" applyNumberFormat="1" applyFont="1" applyFill="1" applyBorder="1" applyAlignment="1">
      <alignment horizontal="center"/>
    </xf>
    <xf numFmtId="3" fontId="11" fillId="0" borderId="27" xfId="0" applyNumberFormat="1" applyFont="1" applyBorder="1" applyAlignment="1">
      <alignment horizontal="center" vertical="center"/>
    </xf>
    <xf numFmtId="164" fontId="11" fillId="8" borderId="29" xfId="1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vertical="center"/>
    </xf>
    <xf numFmtId="3" fontId="21" fillId="0" borderId="9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3" fontId="14" fillId="0" borderId="0" xfId="0" applyNumberFormat="1" applyFont="1" applyAlignment="1">
      <alignment horizontal="center" vertical="center" wrapText="1"/>
    </xf>
    <xf numFmtId="0" fontId="9" fillId="9" borderId="7" xfId="0" applyFont="1" applyFill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16" borderId="9" xfId="0" applyFont="1" applyFill="1" applyBorder="1" applyAlignment="1">
      <alignment vertical="center"/>
    </xf>
    <xf numFmtId="0" fontId="9" fillId="9" borderId="7" xfId="0" applyFont="1" applyFill="1" applyBorder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64" fontId="11" fillId="8" borderId="4" xfId="1" applyNumberFormat="1" applyFont="1" applyFill="1" applyBorder="1" applyAlignment="1">
      <alignment vertical="center" wrapText="1"/>
    </xf>
    <xf numFmtId="0" fontId="22" fillId="0" borderId="0" xfId="0" applyFont="1" applyAlignment="1">
      <alignment horizontal="left"/>
    </xf>
    <xf numFmtId="164" fontId="21" fillId="0" borderId="9" xfId="1" applyNumberFormat="1" applyFont="1" applyFill="1" applyBorder="1" applyAlignment="1">
      <alignment horizontal="center" vertical="center"/>
    </xf>
    <xf numFmtId="164" fontId="14" fillId="0" borderId="0" xfId="1" applyNumberFormat="1" applyFont="1" applyAlignment="1">
      <alignment horizontal="center" vertical="center"/>
    </xf>
    <xf numFmtId="3" fontId="13" fillId="8" borderId="0" xfId="0" applyNumberFormat="1" applyFont="1" applyFill="1" applyAlignment="1">
      <alignment horizontal="center"/>
    </xf>
    <xf numFmtId="164" fontId="11" fillId="0" borderId="0" xfId="1" applyNumberFormat="1" applyFont="1" applyFill="1" applyBorder="1" applyAlignment="1">
      <alignment horizontal="center" vertical="center"/>
    </xf>
    <xf numFmtId="164" fontId="11" fillId="8" borderId="0" xfId="1" applyNumberFormat="1" applyFont="1" applyFill="1" applyBorder="1" applyAlignment="1">
      <alignment horizontal="center" vertical="center"/>
    </xf>
    <xf numFmtId="3" fontId="13" fillId="3" borderId="7" xfId="0" applyNumberFormat="1" applyFont="1" applyFill="1" applyBorder="1" applyAlignment="1">
      <alignment horizontal="center"/>
    </xf>
    <xf numFmtId="3" fontId="21" fillId="0" borderId="0" xfId="0" applyNumberFormat="1" applyFont="1" applyAlignment="1">
      <alignment horizontal="center" vertical="center"/>
    </xf>
    <xf numFmtId="164" fontId="11" fillId="0" borderId="0" xfId="1" applyNumberFormat="1" applyFont="1" applyFill="1" applyBorder="1" applyAlignment="1">
      <alignment horizontal="center" vertical="center" wrapText="1"/>
    </xf>
    <xf numFmtId="3" fontId="11" fillId="0" borderId="31" xfId="0" applyNumberFormat="1" applyFont="1" applyBorder="1" applyAlignment="1">
      <alignment horizontal="center" vertical="center"/>
    </xf>
    <xf numFmtId="3" fontId="11" fillId="16" borderId="27" xfId="0" applyNumberFormat="1" applyFont="1" applyFill="1" applyBorder="1" applyAlignment="1">
      <alignment horizontal="center" vertical="center"/>
    </xf>
    <xf numFmtId="3" fontId="11" fillId="16" borderId="32" xfId="0" applyNumberFormat="1" applyFont="1" applyFill="1" applyBorder="1" applyAlignment="1">
      <alignment horizontal="center" vertical="center"/>
    </xf>
    <xf numFmtId="3" fontId="11" fillId="0" borderId="33" xfId="0" applyNumberFormat="1" applyFont="1" applyBorder="1" applyAlignment="1">
      <alignment horizontal="center" vertical="center"/>
    </xf>
    <xf numFmtId="3" fontId="11" fillId="16" borderId="34" xfId="0" applyNumberFormat="1" applyFont="1" applyFill="1" applyBorder="1" applyAlignment="1">
      <alignment horizontal="center" vertical="center"/>
    </xf>
    <xf numFmtId="0" fontId="20" fillId="0" borderId="30" xfId="0" applyFont="1" applyBorder="1" applyAlignment="1">
      <alignment vertical="center"/>
    </xf>
    <xf numFmtId="0" fontId="25" fillId="0" borderId="30" xfId="0" applyFont="1" applyBorder="1" applyAlignment="1">
      <alignment vertical="center"/>
    </xf>
    <xf numFmtId="3" fontId="0" fillId="0" borderId="27" xfId="0" applyNumberFormat="1" applyBorder="1" applyAlignment="1">
      <alignment horizontal="center"/>
    </xf>
    <xf numFmtId="3" fontId="11" fillId="0" borderId="35" xfId="0" applyNumberFormat="1" applyFont="1" applyBorder="1" applyAlignment="1">
      <alignment horizontal="center" vertical="center"/>
    </xf>
    <xf numFmtId="3" fontId="21" fillId="0" borderId="13" xfId="0" applyNumberFormat="1" applyFont="1" applyBorder="1" applyAlignment="1">
      <alignment horizontal="center" vertical="center"/>
    </xf>
    <xf numFmtId="164" fontId="11" fillId="8" borderId="13" xfId="1" applyNumberFormat="1" applyFont="1" applyFill="1" applyBorder="1" applyAlignment="1">
      <alignment horizontal="center" vertical="center"/>
    </xf>
    <xf numFmtId="3" fontId="21" fillId="0" borderId="18" xfId="0" applyNumberFormat="1" applyFont="1" applyBorder="1" applyAlignment="1">
      <alignment horizontal="center" vertical="center"/>
    </xf>
    <xf numFmtId="164" fontId="11" fillId="8" borderId="34" xfId="1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3" fontId="21" fillId="19" borderId="9" xfId="0" applyNumberFormat="1" applyFont="1" applyFill="1" applyBorder="1" applyAlignment="1">
      <alignment horizontal="center" vertical="center"/>
    </xf>
    <xf numFmtId="3" fontId="13" fillId="3" borderId="21" xfId="0" applyNumberFormat="1" applyFont="1" applyFill="1" applyBorder="1" applyAlignment="1">
      <alignment horizontal="center" vertical="center"/>
    </xf>
    <xf numFmtId="164" fontId="14" fillId="8" borderId="0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Border="1" applyAlignment="1">
      <alignment horizontal="center" vertical="center" wrapText="1"/>
    </xf>
    <xf numFmtId="16" fontId="18" fillId="0" borderId="0" xfId="0" applyNumberFormat="1" applyFont="1" applyAlignment="1">
      <alignment horizontal="center"/>
    </xf>
    <xf numFmtId="0" fontId="20" fillId="21" borderId="19" xfId="0" applyFont="1" applyFill="1" applyBorder="1" applyAlignment="1">
      <alignment vertical="center"/>
    </xf>
    <xf numFmtId="3" fontId="0" fillId="21" borderId="0" xfId="0" applyNumberFormat="1" applyFill="1"/>
    <xf numFmtId="3" fontId="0" fillId="21" borderId="18" xfId="0" applyNumberFormat="1" applyFill="1" applyBorder="1" applyAlignment="1">
      <alignment horizontal="center"/>
    </xf>
    <xf numFmtId="0" fontId="0" fillId="21" borderId="0" xfId="0" applyFill="1" applyAlignment="1">
      <alignment horizontal="left"/>
    </xf>
    <xf numFmtId="3" fontId="11" fillId="21" borderId="0" xfId="0" applyNumberFormat="1" applyFont="1" applyFill="1" applyAlignment="1">
      <alignment horizontal="center" vertical="center"/>
    </xf>
    <xf numFmtId="164" fontId="11" fillId="21" borderId="0" xfId="1" applyNumberFormat="1" applyFont="1" applyFill="1" applyBorder="1" applyAlignment="1">
      <alignment horizontal="center" vertical="center"/>
    </xf>
    <xf numFmtId="164" fontId="11" fillId="21" borderId="0" xfId="1" applyNumberFormat="1" applyFont="1" applyFill="1" applyBorder="1" applyAlignment="1">
      <alignment horizontal="center" vertical="center" wrapText="1"/>
    </xf>
    <xf numFmtId="3" fontId="11" fillId="21" borderId="9" xfId="0" applyNumberFormat="1" applyFont="1" applyFill="1" applyBorder="1" applyAlignment="1">
      <alignment horizontal="center" vertical="center"/>
    </xf>
    <xf numFmtId="3" fontId="11" fillId="21" borderId="15" xfId="0" applyNumberFormat="1" applyFont="1" applyFill="1" applyBorder="1" applyAlignment="1">
      <alignment horizontal="center" vertical="center"/>
    </xf>
    <xf numFmtId="0" fontId="20" fillId="21" borderId="9" xfId="0" applyFont="1" applyFill="1" applyBorder="1" applyAlignment="1">
      <alignment vertical="center"/>
    </xf>
    <xf numFmtId="3" fontId="0" fillId="21" borderId="9" xfId="0" applyNumberFormat="1" applyFill="1" applyBorder="1" applyAlignment="1">
      <alignment horizontal="center"/>
    </xf>
    <xf numFmtId="164" fontId="11" fillId="21" borderId="9" xfId="1" applyNumberFormat="1" applyFont="1" applyFill="1" applyBorder="1" applyAlignment="1">
      <alignment horizontal="center" vertical="center" wrapText="1"/>
    </xf>
    <xf numFmtId="164" fontId="11" fillId="21" borderId="9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13" fillId="3" borderId="11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164" fontId="11" fillId="8" borderId="0" xfId="1" applyNumberFormat="1" applyFont="1" applyFill="1" applyBorder="1" applyAlignment="1">
      <alignment vertical="center"/>
    </xf>
    <xf numFmtId="3" fontId="13" fillId="3" borderId="36" xfId="0" applyNumberFormat="1" applyFont="1" applyFill="1" applyBorder="1" applyAlignment="1">
      <alignment horizontal="center"/>
    </xf>
    <xf numFmtId="3" fontId="13" fillId="3" borderId="36" xfId="0" applyNumberFormat="1" applyFont="1" applyFill="1" applyBorder="1" applyAlignment="1">
      <alignment horizontal="center" vertical="center"/>
    </xf>
    <xf numFmtId="3" fontId="13" fillId="3" borderId="17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vertical="center"/>
    </xf>
    <xf numFmtId="0" fontId="0" fillId="0" borderId="31" xfId="0" applyBorder="1" applyAlignment="1">
      <alignment horizontal="left" vertical="center"/>
    </xf>
    <xf numFmtId="0" fontId="26" fillId="8" borderId="0" xfId="0" applyFont="1" applyFill="1"/>
    <xf numFmtId="0" fontId="27" fillId="8" borderId="0" xfId="0" applyFont="1" applyFill="1" applyAlignment="1">
      <alignment vertical="center"/>
    </xf>
    <xf numFmtId="3" fontId="22" fillId="8" borderId="0" xfId="0" applyNumberFormat="1" applyFont="1" applyFill="1"/>
    <xf numFmtId="3" fontId="22" fillId="8" borderId="0" xfId="0" applyNumberFormat="1" applyFont="1" applyFill="1" applyAlignment="1">
      <alignment horizontal="center"/>
    </xf>
    <xf numFmtId="3" fontId="21" fillId="0" borderId="0" xfId="0" applyNumberFormat="1" applyFont="1" applyAlignment="1">
      <alignment horizontal="center"/>
    </xf>
    <xf numFmtId="0" fontId="22" fillId="8" borderId="0" xfId="0" applyFont="1" applyFill="1" applyAlignment="1">
      <alignment horizontal="left"/>
    </xf>
    <xf numFmtId="0" fontId="28" fillId="0" borderId="0" xfId="0" applyFont="1" applyAlignment="1">
      <alignment horizontal="center" vertical="center"/>
    </xf>
    <xf numFmtId="0" fontId="22" fillId="0" borderId="0" xfId="0" applyFont="1"/>
    <xf numFmtId="3" fontId="22" fillId="8" borderId="0" xfId="0" applyNumberFormat="1" applyFont="1" applyFill="1" applyAlignment="1">
      <alignment horizontal="center" vertical="center"/>
    </xf>
    <xf numFmtId="0" fontId="22" fillId="8" borderId="0" xfId="0" applyFont="1" applyFill="1"/>
    <xf numFmtId="0" fontId="0" fillId="0" borderId="28" xfId="0" applyBorder="1"/>
    <xf numFmtId="3" fontId="0" fillId="9" borderId="9" xfId="0" applyNumberFormat="1" applyFill="1" applyBorder="1" applyAlignment="1">
      <alignment horizontal="center"/>
    </xf>
    <xf numFmtId="0" fontId="29" fillId="23" borderId="0" xfId="0" applyFont="1" applyFill="1"/>
    <xf numFmtId="0" fontId="2" fillId="0" borderId="0" xfId="0" applyFont="1" applyAlignment="1">
      <alignment horizontal="center" vertical="center"/>
    </xf>
    <xf numFmtId="0" fontId="0" fillId="18" borderId="0" xfId="0" applyFill="1" applyAlignment="1">
      <alignment horizontal="center"/>
    </xf>
    <xf numFmtId="0" fontId="3" fillId="18" borderId="24" xfId="0" applyFont="1" applyFill="1" applyBorder="1" applyAlignment="1">
      <alignment horizontal="center"/>
    </xf>
    <xf numFmtId="0" fontId="18" fillId="18" borderId="24" xfId="0" applyFont="1" applyFill="1" applyBorder="1" applyAlignment="1">
      <alignment horizontal="center"/>
    </xf>
    <xf numFmtId="16" fontId="18" fillId="20" borderId="0" xfId="0" applyNumberFormat="1" applyFont="1" applyFill="1" applyAlignment="1">
      <alignment horizontal="center"/>
    </xf>
    <xf numFmtId="0" fontId="3" fillId="20" borderId="0" xfId="0" applyFont="1" applyFill="1"/>
    <xf numFmtId="0" fontId="31" fillId="0" borderId="0" xfId="0" applyFont="1" applyAlignment="1">
      <alignment horizontal="center" vertical="center"/>
    </xf>
    <xf numFmtId="0" fontId="32" fillId="0" borderId="2" xfId="0" applyFont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16" fontId="32" fillId="0" borderId="0" xfId="0" applyNumberFormat="1" applyFont="1" applyAlignment="1">
      <alignment horizontal="center"/>
    </xf>
    <xf numFmtId="0" fontId="32" fillId="0" borderId="0" xfId="0" applyFont="1"/>
    <xf numFmtId="0" fontId="10" fillId="0" borderId="0" xfId="0" applyFont="1" applyAlignment="1">
      <alignment horizontal="left" vertical="top"/>
    </xf>
    <xf numFmtId="0" fontId="32" fillId="0" borderId="2" xfId="0" applyFont="1" applyBorder="1" applyAlignment="1">
      <alignment horizontal="left" vertical="top"/>
    </xf>
    <xf numFmtId="0" fontId="7" fillId="24" borderId="30" xfId="0" applyFont="1" applyFill="1" applyBorder="1" applyAlignment="1">
      <alignment horizontal="center" vertical="center" wrapText="1"/>
    </xf>
    <xf numFmtId="0" fontId="7" fillId="24" borderId="5" xfId="0" applyFont="1" applyFill="1" applyBorder="1" applyAlignment="1">
      <alignment horizontal="center" vertical="center" wrapText="1"/>
    </xf>
    <xf numFmtId="0" fontId="9" fillId="26" borderId="17" xfId="0" applyFont="1" applyFill="1" applyBorder="1" applyAlignment="1">
      <alignment vertical="center"/>
    </xf>
    <xf numFmtId="3" fontId="14" fillId="26" borderId="17" xfId="0" applyNumberFormat="1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3" fontId="13" fillId="28" borderId="9" xfId="0" applyNumberFormat="1" applyFont="1" applyFill="1" applyBorder="1" applyAlignment="1">
      <alignment horizontal="center"/>
    </xf>
    <xf numFmtId="0" fontId="7" fillId="24" borderId="31" xfId="0" applyFont="1" applyFill="1" applyBorder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7" fillId="24" borderId="16" xfId="0" applyFont="1" applyFill="1" applyBorder="1" applyAlignment="1">
      <alignment horizontal="center" vertical="center"/>
    </xf>
    <xf numFmtId="0" fontId="7" fillId="24" borderId="30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9" fillId="27" borderId="9" xfId="0" applyFont="1" applyFill="1" applyBorder="1" applyAlignment="1">
      <alignment horizontal="center" vertical="center" wrapText="1"/>
    </xf>
    <xf numFmtId="164" fontId="11" fillId="0" borderId="15" xfId="1" applyNumberFormat="1" applyFont="1" applyFill="1" applyBorder="1" applyAlignment="1">
      <alignment horizontal="center" vertical="center"/>
    </xf>
    <xf numFmtId="164" fontId="11" fillId="8" borderId="15" xfId="1" applyNumberFormat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9" fillId="28" borderId="9" xfId="0" applyFont="1" applyFill="1" applyBorder="1" applyAlignment="1">
      <alignment vertical="center"/>
    </xf>
    <xf numFmtId="0" fontId="15" fillId="24" borderId="9" xfId="0" applyFont="1" applyFill="1" applyBorder="1" applyAlignment="1">
      <alignment horizontal="center" vertical="center" wrapText="1"/>
    </xf>
    <xf numFmtId="0" fontId="34" fillId="26" borderId="9" xfId="0" applyFont="1" applyFill="1" applyBorder="1" applyAlignment="1">
      <alignment horizontal="center" vertical="center" wrapText="1"/>
    </xf>
    <xf numFmtId="0" fontId="34" fillId="25" borderId="9" xfId="0" applyFont="1" applyFill="1" applyBorder="1" applyAlignment="1">
      <alignment horizontal="center" vertical="center" wrapText="1"/>
    </xf>
    <xf numFmtId="16" fontId="14" fillId="28" borderId="9" xfId="0" applyNumberFormat="1" applyFont="1" applyFill="1" applyBorder="1" applyAlignment="1">
      <alignment horizontal="center" vertical="center" wrapText="1"/>
    </xf>
    <xf numFmtId="16" fontId="14" fillId="29" borderId="9" xfId="0" applyNumberFormat="1" applyFont="1" applyFill="1" applyBorder="1" applyAlignment="1">
      <alignment horizontal="center" vertical="center" wrapText="1"/>
    </xf>
    <xf numFmtId="15" fontId="15" fillId="4" borderId="11" xfId="0" applyNumberFormat="1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 wrapText="1"/>
    </xf>
    <xf numFmtId="0" fontId="15" fillId="18" borderId="36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36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19" fillId="13" borderId="7" xfId="0" applyFont="1" applyFill="1" applyBorder="1" applyAlignment="1">
      <alignment horizontal="center" vertical="center" wrapText="1"/>
    </xf>
    <xf numFmtId="16" fontId="7" fillId="22" borderId="4" xfId="0" applyNumberFormat="1" applyFont="1" applyFill="1" applyBorder="1" applyAlignment="1">
      <alignment horizontal="center" vertical="center" wrapText="1"/>
    </xf>
    <xf numFmtId="16" fontId="7" fillId="22" borderId="7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6" fontId="18" fillId="0" borderId="24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7" borderId="7" xfId="0" applyFont="1" applyFill="1" applyBorder="1" applyAlignment="1">
      <alignment horizontal="center" vertical="center" wrapText="1"/>
    </xf>
    <xf numFmtId="16" fontId="7" fillId="12" borderId="4" xfId="0" applyNumberFormat="1" applyFont="1" applyFill="1" applyBorder="1" applyAlignment="1">
      <alignment horizontal="center" vertical="center" wrapText="1"/>
    </xf>
    <xf numFmtId="16" fontId="7" fillId="12" borderId="7" xfId="0" applyNumberFormat="1" applyFont="1" applyFill="1" applyBorder="1" applyAlignment="1">
      <alignment horizontal="center" vertical="center" wrapText="1"/>
    </xf>
    <xf numFmtId="16" fontId="5" fillId="15" borderId="4" xfId="0" applyNumberFormat="1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16" fontId="5" fillId="20" borderId="4" xfId="0" applyNumberFormat="1" applyFont="1" applyFill="1" applyBorder="1" applyAlignment="1">
      <alignment horizontal="center" vertical="center" wrapText="1"/>
    </xf>
    <xf numFmtId="16" fontId="5" fillId="20" borderId="7" xfId="0" applyNumberFormat="1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164" fontId="11" fillId="8" borderId="5" xfId="1" applyNumberFormat="1" applyFont="1" applyFill="1" applyBorder="1" applyAlignment="1">
      <alignment horizontal="center" vertical="center" wrapText="1"/>
    </xf>
    <xf numFmtId="164" fontId="11" fillId="8" borderId="7" xfId="1" applyNumberFormat="1" applyFont="1" applyFill="1" applyBorder="1" applyAlignment="1">
      <alignment horizontal="center" vertical="center" wrapText="1"/>
    </xf>
    <xf numFmtId="16" fontId="17" fillId="14" borderId="4" xfId="0" applyNumberFormat="1" applyFont="1" applyFill="1" applyBorder="1" applyAlignment="1">
      <alignment horizontal="center" vertical="center" wrapText="1"/>
    </xf>
    <xf numFmtId="0" fontId="17" fillId="14" borderId="7" xfId="0" applyFont="1" applyFill="1" applyBorder="1" applyAlignment="1">
      <alignment horizontal="center" vertical="center" wrapText="1"/>
    </xf>
    <xf numFmtId="164" fontId="11" fillId="8" borderId="4" xfId="1" applyNumberFormat="1" applyFont="1" applyFill="1" applyBorder="1" applyAlignment="1">
      <alignment horizontal="center" vertical="center" wrapText="1"/>
    </xf>
    <xf numFmtId="164" fontId="21" fillId="8" borderId="4" xfId="1" applyNumberFormat="1" applyFont="1" applyFill="1" applyBorder="1" applyAlignment="1">
      <alignment horizontal="center" vertical="center" wrapText="1"/>
    </xf>
    <xf numFmtId="164" fontId="21" fillId="8" borderId="5" xfId="1" applyNumberFormat="1" applyFont="1" applyFill="1" applyBorder="1" applyAlignment="1">
      <alignment horizontal="center" vertical="center" wrapText="1"/>
    </xf>
    <xf numFmtId="164" fontId="21" fillId="8" borderId="7" xfId="1" applyNumberFormat="1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23" xfId="0" applyFont="1" applyFill="1" applyBorder="1" applyAlignment="1">
      <alignment horizontal="center" vertical="center" wrapText="1"/>
    </xf>
    <xf numFmtId="0" fontId="24" fillId="10" borderId="0" xfId="0" applyFont="1" applyFill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164" fontId="23" fillId="8" borderId="5" xfId="1" applyNumberFormat="1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24" fillId="10" borderId="23" xfId="0" applyFont="1" applyFill="1" applyBorder="1" applyAlignment="1">
      <alignment horizontal="center" vertical="center"/>
    </xf>
    <xf numFmtId="15" fontId="7" fillId="4" borderId="4" xfId="0" applyNumberFormat="1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5" fillId="24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" fillId="18" borderId="2" xfId="0" applyFont="1" applyFill="1" applyBorder="1" applyAlignment="1">
      <alignment horizontal="center"/>
    </xf>
    <xf numFmtId="0" fontId="3" fillId="18" borderId="24" xfId="0" applyFont="1" applyFill="1" applyBorder="1" applyAlignment="1">
      <alignment horizontal="center"/>
    </xf>
    <xf numFmtId="16" fontId="18" fillId="20" borderId="24" xfId="0" applyNumberFormat="1" applyFont="1" applyFill="1" applyBorder="1" applyAlignment="1">
      <alignment horizontal="center"/>
    </xf>
    <xf numFmtId="16" fontId="5" fillId="15" borderId="7" xfId="0" applyNumberFormat="1" applyFont="1" applyFill="1" applyBorder="1" applyAlignment="1">
      <alignment horizontal="center" vertical="center" wrapText="1"/>
    </xf>
    <xf numFmtId="0" fontId="7" fillId="10" borderId="30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/>
    </xf>
    <xf numFmtId="0" fontId="8" fillId="18" borderId="4" xfId="0" applyFont="1" applyFill="1" applyBorder="1" applyAlignment="1">
      <alignment horizontal="center" vertical="center" wrapText="1"/>
    </xf>
    <xf numFmtId="0" fontId="8" fillId="18" borderId="7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</cellXfs>
  <cellStyles count="3">
    <cellStyle name="Normal" xfId="0" builtinId="0"/>
    <cellStyle name="Normal 2" xfId="2" xr:uid="{75223035-128D-4D92-8539-4AD371F5DA99}"/>
    <cellStyle name="Yüzde" xfId="1" builtinId="5"/>
  </cellStyles>
  <dxfs count="0"/>
  <tableStyles count="0" defaultTableStyle="TableStyleMedium2" defaultPivotStyle="PivotStyleLight16"/>
  <colors>
    <mruColors>
      <color rgb="FF0E3A2F"/>
      <color rgb="FF0961A1"/>
      <color rgb="FFF15252"/>
      <color rgb="FF78FAAE"/>
      <color rgb="FFF7B046"/>
      <color rgb="FF1ED4DF"/>
      <color rgb="FFFAEB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ce Tetik" id="{6B240F24-4209-4CC3-949C-52647EBC7759}" userId="S::ecet@skoda.com.tr::b3a1f436-dbb0-48ef-9078-564230d5f4a5" providerId="AD"/>
  <person displayName="Cem Lee Kavukçu" id="{19CD07F3-E782-4DD8-8968-410D050C6153}" userId="S::leek@skoda.com.tr::551bdfc8-7f5e-45bc-9b39-6cf09284398c" providerId="AD"/>
  <person displayName="Ebru Katiranci" id="{EC59540F-4C59-4641-852E-8D0272A47B1E}" userId="S::ebruk@skoda.com.tr::5b8f9ae3-132c-4bb0-b029-5c5e5d8d422f" providerId="AD"/>
</personList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3" dT="2024-04-30T10:15:19.54" personId="{EC59540F-4C59-4641-852E-8D0272A47B1E}" id="{AB12D926-C4E9-449D-9498-770133E2DB9A}">
    <text>Metalik renkli</text>
  </threadedComment>
  <threadedComment ref="P13" dT="2024-04-30T10:15:19.54" personId="{EC59540F-4C59-4641-852E-8D0272A47B1E}" id="{08E9D2DB-7CA2-4EE9-B1E0-0FA365C90821}">
    <text>Metalik renkli</text>
  </threadedComment>
  <threadedComment ref="D14" dT="2024-07-23T16:01:31.40" personId="{19CD07F3-E782-4DD8-8968-410D050C6153}" id="{88800968-770A-492F-802F-B89A50FB6350}">
    <text>Premium 1.0 = 2</text>
  </threadedComment>
  <threadedComment ref="E14" dT="2024-07-23T15:47:26.65" personId="{19CD07F3-E782-4DD8-8968-410D050C6153}" id="{A5D1E83C-4D8D-4E94-B003-0334F95658CD}">
    <text>Premium 1.0 = 2</text>
  </threadedComment>
  <threadedComment ref="M19" dT="2024-04-30T10:15:38.84" personId="{EC59540F-4C59-4641-852E-8D0272A47B1E}" id="{6C75F399-54C7-492F-9285-051F96B10492}">
    <text>Metalik renkli</text>
  </threadedComment>
  <threadedComment ref="P19" dT="2024-04-30T10:15:38.84" personId="{EC59540F-4C59-4641-852E-8D0272A47B1E}" id="{BA6A9678-7B29-4609-96E1-0FB2CEA7AE2C}">
    <text>Metalik renkli</text>
  </threadedComment>
  <threadedComment ref="F21" dT="2024-05-07T19:30:51.54" personId="{19CD07F3-E782-4DD8-8968-410D050C6153}" id="{1E42DBD0-9599-4B05-947D-F3E32769DB06}">
    <text>Elite 1.0 = 3</text>
  </threadedComment>
  <threadedComment ref="E27" dT="2024-07-23T15:57:22.74" personId="{19CD07F3-E782-4DD8-8968-410D050C6153}" id="{5B095C43-423C-413A-9E78-F472EF6B3713}">
    <text>Elite 1.5 = 2
Prestige 1.5 = 1
Sportline 1.5 = 5</text>
  </threadedComment>
  <threadedComment ref="V31" dT="2024-04-30T06:47:48.62" personId="{19CD07F3-E782-4DD8-8968-410D050C6153}" id="{D0DE7552-B149-45D7-A2FE-D8CD07CC6B10}">
    <text>Yeni 40</text>
  </threadedComment>
  <threadedComment ref="E34" dT="2024-05-30T10:35:36.28" personId="{19CD07F3-E782-4DD8-8968-410D050C6153}" id="{BB224197-42D8-477E-B8F6-604C994EDB72}">
    <text>Elite 1.5 = 1</text>
  </threadedComment>
  <threadedComment ref="F34" dT="2023-11-29T10:25:04.46" personId="{19CD07F3-E782-4DD8-8968-410D050C6153}" id="{F26CC034-04AA-40EC-BBFA-2C8CBE91E36E}">
    <text>Elite 1,5 TSI  = 1</text>
  </threadedComment>
  <threadedComment ref="V34" dT="2024-05-30T09:56:58.21" personId="{19CD07F3-E782-4DD8-8968-410D050C6153}" id="{9CACF358-AB0A-43F7-A270-61CCB9E87770}">
    <text>NG Premium 1.5 = 23
NG Prestige 1.5 = 39</text>
  </threadedComment>
  <threadedComment ref="D42" dT="2023-06-10T07:52:01.08" personId="{19CD07F3-E782-4DD8-8968-410D050C6153}" id="{ABA8FF3C-293C-451A-8D99-0E0E2255C272}">
    <text>Prestige 1.5 = 1</text>
  </threadedComment>
  <threadedComment ref="E42" dT="2023-06-10T07:52:01.08" personId="{19CD07F3-E782-4DD8-8968-410D050C6153}" id="{28F8D7D3-F418-4B43-A34F-A4955F7313F3}">
    <text>Sportline 1.5 = 1</text>
  </threadedComment>
  <threadedComment ref="F42" dT="2023-06-10T11:22:24.00" personId="{19CD07F3-E782-4DD8-8968-410D050C6153}" id="{E83E0C1D-3FE5-4E0E-AD0A-DA1594E5ABC5}">
    <text xml:space="preserve">Sportline 1.5=1
</text>
  </threadedComment>
  <threadedComment ref="X42" dT="2024-05-30T10:01:56.01" personId="{19CD07F3-E782-4DD8-8968-410D050C6153}" id="{01564088-F46E-4E63-AD99-38E4834AE62A}">
    <text>Prestige 1.5=1</text>
  </threadedComment>
  <threadedComment ref="D49" dT="2023-06-10T07:53:08.93" personId="{19CD07F3-E782-4DD8-8968-410D050C6153}" id="{D48F2E83-A916-409E-9CF1-E1643F6D3996}">
    <text xml:space="preserve">NG L&amp;K 2.0 TDI = 4
NG L&amp;K 2.0 TSI = 2
NG Combi L&amp;K 1.5 = 1
NG Combi Prestige 1.5 = 1
</text>
  </threadedComment>
  <threadedComment ref="E49" dT="2023-06-10T07:53:08.93" personId="{19CD07F3-E782-4DD8-8968-410D050C6153}" id="{30EB2F7F-7203-4A62-99E9-BD8F0EA8F001}">
    <text xml:space="preserve">Combi Scout 1.5 = 1
NG L&amp;K 2.0 TDI = 2
NG L&amp;K 2.0 TSI = 2
NG Combi L&amp;K 1.5 = 1
NG Combi Prestige 1.5 = 2
</text>
  </threadedComment>
  <threadedComment ref="F49" dT="2023-03-30T19:28:22.23" personId="{19CD07F3-E782-4DD8-8968-410D050C6153}" id="{B18D1A77-C272-408F-9523-1CB976D5EC9D}">
    <text xml:space="preserve">Combi Scout 1,5 = 4
Combi Sportline 1,5 = 1
NG L&amp;K 2.0 TDI = 2
NG Combi L&amp;K 1.5 = 2
NG Combi Prestige 1.5 = 3
</text>
  </threadedComment>
  <threadedComment ref="G49" dT="2024-05-30T09:14:15.65" personId="{19CD07F3-E782-4DD8-8968-410D050C6153}" id="{31575C06-8942-4A73-AD7A-8279F7581C76}">
    <text>NG L&amp;K 2.0 TDI = 16
NG L&amp;K 2.0 TSI = 6
NG Combi L&amp;K 1.5 = 3
NG Combi Prestige 1.5 = 6</text>
  </threadedComment>
  <threadedComment ref="I49" dT="2024-05-30T09:14:15.65" personId="{19CD07F3-E782-4DD8-8968-410D050C6153}" id="{54A8879A-6113-4D08-B02D-7D4760E8536C}">
    <text>NG Combi prestige = 3</text>
  </threadedComment>
  <threadedComment ref="V49" dT="2024-04-29T09:40:32.03" personId="{19CD07F3-E782-4DD8-8968-410D050C6153}" id="{A16A9811-7980-4EBE-B90F-0C32F195B01D}">
    <text xml:space="preserve">Yeni L&amp;K 2.0 TDI = 2
Yeni L&amp;K 2.0 TSI = 3
</text>
  </threadedComment>
  <threadedComment ref="W49" dT="2024-06-28T13:29:09.48" personId="{19CD07F3-E782-4DD8-8968-410D050C6153}" id="{0D1FC1BF-F943-40B1-9075-E84ECAA20BC9}">
    <text>Yeni L&amp;K 2.0 TDI = 1
Yeni L&amp;K 2.0 TSI = 2</text>
  </threadedComment>
  <threadedComment ref="X49" dT="2024-05-30T10:03:21.12" personId="{19CD07F3-E782-4DD8-8968-410D050C6153}" id="{202E9EA4-289F-47B5-9061-C2DA8BE11D10}">
    <text>NG L&amp;K 2.0 TDI = 15
NG L&amp;K 2.0 TSI = 79
NG Combi Prestige 1.5 = 1</text>
  </threadedComment>
  <threadedComment ref="Y49" dT="2024-04-29T09:40:32.03" personId="{19CD07F3-E782-4DD8-8968-410D050C6153}" id="{20A8A6F9-7264-441C-853A-91EBD36DBCEF}">
    <text xml:space="preserve">Yeni L&amp;K 2.0 TDI = 15
Yeni L&amp;K 2.0 TSI = 79
Yeni Combi L&amp;K 1.5 = 0
Yeni Combi Prestige = 1
</text>
  </threadedComment>
  <threadedComment ref="AD49" dT="2024-06-28T13:55:55.62" personId="{19CD07F3-E782-4DD8-8968-410D050C6153}" id="{543770E7-1800-40B0-A480-33A9EBF25EF1}">
    <text>Yeni L&amp;K 2.0 TDI = 46
Yeni L&amp;K 2.0 TSI = 105
Yeni Combi Prestige 1,5 = 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24" dT="2024-03-01T13:42:50.37" personId="{6B240F24-4209-4CC3-949C-52647EBC7759}" id="{EFFA98E8-E449-4D11-B0ED-CCF05AB2A0FF}">
    <text>1.242.000 TL Dip Fiyat</text>
  </threadedComment>
  <threadedComment ref="P32" dT="2024-03-01T13:43:04.59" personId="{6B240F24-4209-4CC3-949C-52647EBC7759}" id="{1A770980-2621-4CFB-96C3-C0EC767FC565}">
    <text>1.350.000 TL Dip Fiyat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D14" dT="2024-05-01T08:09:16.81" personId="{6B240F24-4209-4CC3-949C-52647EBC7759}" id="{EC3BA52E-0486-44D2-90B1-0472BB652CA8}">
    <text>Perakendeden ek alınabilir.</text>
  </threadedComment>
  <threadedComment ref="O17" dT="2024-03-01T13:42:50.37" personId="{6B240F24-4209-4CC3-949C-52647EBC7759}" id="{A568F4DE-F137-4295-B772-CF2A5CCB37F9}">
    <text>1.242.000 TL Dip Fiyat</text>
  </threadedComment>
  <threadedComment ref="O18" dT="2024-03-01T13:43:04.59" personId="{6B240F24-4209-4CC3-949C-52647EBC7759}" id="{74792878-5A0A-4CBD-9B73-262765291ECA}">
    <text>1.350.000 TL Dip Fiyat</text>
  </threadedComment>
  <threadedComment ref="D20" dT="2024-06-28T14:27:21.41" personId="{19CD07F3-E782-4DD8-8968-410D050C6153}" id="{8A172DBC-5833-4B38-A36B-A29401447E2E}">
    <text>Scala Elite 1.0 = 14</text>
  </threadedComment>
  <threadedComment ref="E20" dT="2024-06-28T14:38:50.91" personId="{19CD07F3-E782-4DD8-8968-410D050C6153}" id="{8684B176-06A8-4B5C-BCD4-7487371A7AA4}">
    <text>Scala Elite 1.0 = 14</text>
  </threadedComment>
  <threadedComment ref="G20" dT="2024-06-28T15:14:09.41" personId="{19CD07F3-E782-4DD8-8968-410D050C6153}" id="{773CBA01-B386-45F6-92D7-05AF761E5708}">
    <text>Prem 1.0 = 1</text>
  </threadedComment>
  <threadedComment ref="AD23" dT="2024-05-01T08:08:56.59" personId="{6B240F24-4209-4CC3-949C-52647EBC7759}" id="{9565B0AD-B162-4DB5-9385-AE1CBCDA7567}">
    <text>Perakendeye verilebilir.</text>
  </threadedComment>
  <threadedComment ref="AD24" dT="2024-05-01T08:09:01.49" personId="{6B240F24-4209-4CC3-949C-52647EBC7759}" id="{DF670784-A10F-4C93-B656-DBC4A218E907}">
    <text>Perakendeye verilebilir.</text>
  </threadedComment>
  <threadedComment ref="AD36" dT="2024-05-01T08:11:35.36" personId="{6B240F24-4209-4CC3-949C-52647EBC7759}" id="{6FF9BFFC-08C5-428F-9026-B93569ECE38A}">
    <text>Perakendeye verilebilir.</text>
  </threadedComment>
  <threadedComment ref="D48" dT="2024-06-28T14:28:17.11" personId="{19CD07F3-E782-4DD8-8968-410D050C6153}" id="{B5D4C6C5-3815-4A40-A857-1CCD862721E9}">
    <text>Jandarma Proje Araçları=300</text>
  </threadedComment>
  <threadedComment ref="AD51" dT="2024-05-01T08:09:24.52" personId="{6B240F24-4209-4CC3-949C-52647EBC7759}" id="{B0CADA8C-FBE9-420D-99D3-CA0BB4FAF50B}">
    <text>Perakendeden ek alınabilir.</text>
  </threadedComment>
  <threadedComment ref="D71" dT="2024-06-28T14:29:19.82" personId="{19CD07F3-E782-4DD8-8968-410D050C6153}" id="{145E29F7-1F93-4CD1-A35E-E7E533222B44}">
    <text>NG L&amp;K 2.0 TDI = 4
NG L&amp;K 2.0 TSI = 6</text>
  </threadedComment>
  <threadedComment ref="E71" dT="2024-06-28T14:40:03.03" personId="{19CD07F3-E782-4DD8-8968-410D050C6153}" id="{ED2E4856-88C4-4838-AEAE-C002262AEA47}">
    <text>NG L&amp;K 2.0 TDI = 3
NG L&amp;K 2.0 TSI = 5</text>
  </threadedComment>
  <threadedComment ref="Y71" dT="2024-05-30T11:13:03.94" personId="{19CD07F3-E782-4DD8-8968-410D050C6153}" id="{EBD56B23-55AF-4D21-AF62-E5F4BC77AD24}">
    <text xml:space="preserve">Yeni L&amp;K 2,0 TDI=
Yeni L&amp;K 2,0 TSI=2
</text>
  </threadedComment>
  <threadedComment ref="AA71" dT="2024-07-23T13:37:21.92" personId="{19CD07F3-E782-4DD8-8968-410D050C6153}" id="{BFC87EB5-3634-4504-8B36-D2784A5B82D0}">
    <text xml:space="preserve">Yeni L&amp;K 2,0 TDI=1
Yeni L&amp;K 2,0 TSI=2
</text>
  </threadedComment>
  <threadedComment ref="AB71" dT="2024-05-30T11:13:03.94" personId="{19CD07F3-E782-4DD8-8968-410D050C6153}" id="{DB464AE8-4CBE-44E3-A2DD-763581494C68}">
    <text xml:space="preserve">Yeni L&amp;K 2,0 TDI=1
Yeni L&amp;K 2,0 TSI=2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D936-9FA8-41BE-AA48-11707556E201}">
  <sheetPr codeName="Sheet1"/>
  <dimension ref="A1:AE61"/>
  <sheetViews>
    <sheetView showGridLines="0" zoomScale="130" zoomScaleNormal="130" workbookViewId="0">
      <pane xSplit="3" ySplit="3" topLeftCell="D5" activePane="bottomRight" state="frozen"/>
      <selection pane="topRight" activeCell="D1" sqref="D1"/>
      <selection pane="bottomLeft" activeCell="A4" sqref="A4"/>
      <selection pane="bottomRight" activeCell="F1" sqref="F1:G1"/>
    </sheetView>
  </sheetViews>
  <sheetFormatPr defaultRowHeight="15" customHeight="1" x14ac:dyDescent="0.25"/>
  <cols>
    <col min="1" max="1" width="17.5703125" style="12" customWidth="1"/>
    <col min="2" max="2" width="50.5703125" style="54" bestFit="1" customWidth="1"/>
    <col min="3" max="3" width="1.140625" customWidth="1"/>
    <col min="4" max="5" width="16.140625" style="2" customWidth="1"/>
    <col min="6" max="6" width="14.140625" style="2" customWidth="1"/>
    <col min="7" max="7" width="15.85546875" style="2" customWidth="1"/>
    <col min="8" max="8" width="2.140625" style="1" customWidth="1"/>
    <col min="9" max="11" width="15.85546875" style="2" customWidth="1"/>
    <col min="12" max="12" width="2.140625" style="1" customWidth="1"/>
    <col min="13" max="13" width="12.85546875" style="2" hidden="1" customWidth="1"/>
    <col min="14" max="14" width="12.42578125" style="2" hidden="1" customWidth="1"/>
    <col min="15" max="15" width="1.85546875" style="1" hidden="1" customWidth="1"/>
    <col min="16" max="16" width="12.85546875" style="2" hidden="1" customWidth="1"/>
    <col min="17" max="17" width="12.42578125" style="2" hidden="1" customWidth="1"/>
    <col min="18" max="18" width="18.42578125" style="2" hidden="1" customWidth="1"/>
    <col min="19" max="19" width="15" style="2" hidden="1" customWidth="1"/>
    <col min="20" max="20" width="33" style="2" hidden="1" customWidth="1"/>
    <col min="21" max="21" width="2.42578125" style="1" customWidth="1"/>
    <col min="22" max="24" width="15" style="2" hidden="1" customWidth="1"/>
    <col min="25" max="25" width="15" style="2" customWidth="1"/>
    <col min="26" max="26" width="1.5703125" customWidth="1"/>
    <col min="27" max="27" width="16" style="2" customWidth="1"/>
    <col min="28" max="28" width="16.140625" style="2" customWidth="1"/>
    <col min="29" max="29" width="21.85546875" style="14" customWidth="1"/>
    <col min="30" max="30" width="21.85546875" style="14" hidden="1" customWidth="1"/>
    <col min="31" max="31" width="16" style="2" hidden="1" customWidth="1"/>
  </cols>
  <sheetData>
    <row r="1" spans="1:31" ht="24" thickBot="1" x14ac:dyDescent="0.4">
      <c r="A1" s="192" t="s">
        <v>66</v>
      </c>
      <c r="B1" s="192"/>
      <c r="D1" s="193"/>
      <c r="E1" s="194"/>
      <c r="F1" s="195">
        <v>45504</v>
      </c>
      <c r="G1" s="195"/>
      <c r="I1" s="1"/>
      <c r="J1" s="110"/>
      <c r="K1" s="110"/>
      <c r="V1" s="1"/>
      <c r="W1" s="1"/>
      <c r="X1" s="1"/>
      <c r="Y1" s="1"/>
      <c r="AA1" s="43"/>
      <c r="AB1" s="43"/>
      <c r="AC1" s="43"/>
      <c r="AD1" s="43"/>
      <c r="AE1" s="43"/>
    </row>
    <row r="2" spans="1:31" s="18" customFormat="1" ht="31.35" customHeight="1" x14ac:dyDescent="0.25">
      <c r="A2" s="196" t="s">
        <v>83</v>
      </c>
      <c r="B2" s="197"/>
      <c r="D2" s="200" t="s">
        <v>67</v>
      </c>
      <c r="E2" s="200" t="s">
        <v>68</v>
      </c>
      <c r="F2" s="202" t="s">
        <v>0</v>
      </c>
      <c r="G2" s="204" t="s">
        <v>1</v>
      </c>
      <c r="H2" s="42"/>
      <c r="I2" s="188" t="s">
        <v>69</v>
      </c>
      <c r="J2" s="218" t="s">
        <v>70</v>
      </c>
      <c r="K2" s="206" t="s">
        <v>71</v>
      </c>
      <c r="L2" s="42"/>
      <c r="M2" s="238" t="s">
        <v>55</v>
      </c>
      <c r="N2" s="235" t="s">
        <v>56</v>
      </c>
      <c r="O2" s="34"/>
      <c r="P2" s="238" t="s">
        <v>57</v>
      </c>
      <c r="Q2" s="235" t="s">
        <v>58</v>
      </c>
      <c r="R2" s="225" t="s">
        <v>2</v>
      </c>
      <c r="S2" s="225" t="s">
        <v>59</v>
      </c>
      <c r="T2" s="214" t="s">
        <v>48</v>
      </c>
      <c r="U2" s="40"/>
      <c r="V2" s="210" t="s">
        <v>49</v>
      </c>
      <c r="W2" s="210" t="s">
        <v>49</v>
      </c>
      <c r="X2" s="210" t="s">
        <v>78</v>
      </c>
      <c r="Y2" s="208" t="s">
        <v>72</v>
      </c>
      <c r="AA2" s="188" t="s">
        <v>73</v>
      </c>
      <c r="AB2" s="218" t="s">
        <v>74</v>
      </c>
      <c r="AC2" s="206" t="s">
        <v>75</v>
      </c>
      <c r="AD2" s="190" t="s">
        <v>76</v>
      </c>
      <c r="AE2" s="188" t="s">
        <v>77</v>
      </c>
    </row>
    <row r="3" spans="1:31" s="18" customFormat="1" ht="51.6" customHeight="1" thickBot="1" x14ac:dyDescent="0.3">
      <c r="A3" s="198"/>
      <c r="B3" s="199"/>
      <c r="D3" s="201"/>
      <c r="E3" s="201"/>
      <c r="F3" s="203"/>
      <c r="G3" s="205"/>
      <c r="H3" s="42"/>
      <c r="I3" s="189"/>
      <c r="J3" s="219"/>
      <c r="K3" s="207"/>
      <c r="L3" s="42"/>
      <c r="M3" s="239"/>
      <c r="N3" s="236"/>
      <c r="O3" s="34"/>
      <c r="P3" s="239"/>
      <c r="Q3" s="236"/>
      <c r="R3" s="226"/>
      <c r="S3" s="226"/>
      <c r="T3" s="215"/>
      <c r="U3" s="40"/>
      <c r="V3" s="211"/>
      <c r="W3" s="211"/>
      <c r="X3" s="211"/>
      <c r="Y3" s="209"/>
      <c r="AA3" s="189"/>
      <c r="AB3" s="219"/>
      <c r="AC3" s="207"/>
      <c r="AD3" s="191"/>
      <c r="AE3" s="189"/>
    </row>
    <row r="4" spans="1:31" ht="15.75" hidden="1" customHeight="1" thickBot="1" x14ac:dyDescent="0.3">
      <c r="A4" s="227" t="s">
        <v>4</v>
      </c>
      <c r="B4" s="52" t="s">
        <v>5</v>
      </c>
      <c r="C4" s="3"/>
      <c r="D4" s="46"/>
      <c r="E4" s="46"/>
      <c r="F4" s="46" t="e">
        <f>#REF!+#REF!</f>
        <v>#REF!</v>
      </c>
      <c r="G4" s="46">
        <v>0</v>
      </c>
      <c r="H4" s="5"/>
      <c r="I4" s="46">
        <f t="shared" ref="I4" si="0">H4+G4</f>
        <v>0</v>
      </c>
      <c r="J4" s="46"/>
      <c r="K4" s="46"/>
      <c r="L4" s="5"/>
      <c r="M4" s="4"/>
      <c r="N4" s="4"/>
      <c r="O4" s="5"/>
      <c r="P4" s="4"/>
      <c r="Q4" s="4"/>
      <c r="R4" s="6" t="e">
        <f t="shared" ref="R4:S6" si="1">P4/M4-1</f>
        <v>#DIV/0!</v>
      </c>
      <c r="S4" s="7" t="e">
        <f t="shared" si="1"/>
        <v>#DIV/0!</v>
      </c>
      <c r="T4" s="82"/>
      <c r="U4" s="5"/>
      <c r="V4" s="46"/>
      <c r="W4" s="46"/>
      <c r="X4" s="46"/>
      <c r="Y4" s="46"/>
      <c r="AA4" s="46" t="e">
        <f>Y4+F4+G4</f>
        <v>#REF!</v>
      </c>
      <c r="AB4" s="46"/>
      <c r="AC4" s="46" t="e">
        <f>AA4-AB4</f>
        <v>#REF!</v>
      </c>
      <c r="AD4" s="46"/>
      <c r="AE4" s="46"/>
    </row>
    <row r="5" spans="1:31" x14ac:dyDescent="0.25">
      <c r="A5" s="228"/>
      <c r="B5" s="68" t="s">
        <v>6</v>
      </c>
      <c r="C5" s="3"/>
      <c r="D5" s="65">
        <v>188</v>
      </c>
      <c r="E5" s="65">
        <v>128</v>
      </c>
      <c r="F5" s="65">
        <v>62</v>
      </c>
      <c r="G5" s="65">
        <v>22</v>
      </c>
      <c r="H5" s="5"/>
      <c r="I5" s="65">
        <f>SUM(G5,F5,E5)</f>
        <v>212</v>
      </c>
      <c r="J5" s="65"/>
      <c r="K5" s="65">
        <f>I5-J5</f>
        <v>212</v>
      </c>
      <c r="L5" s="5"/>
      <c r="M5" s="74">
        <v>1329900</v>
      </c>
      <c r="N5" s="74">
        <v>1206700</v>
      </c>
      <c r="O5" s="75"/>
      <c r="P5" s="74">
        <v>1329900</v>
      </c>
      <c r="Q5" s="74">
        <v>1239100</v>
      </c>
      <c r="R5" s="6">
        <f t="shared" si="1"/>
        <v>0</v>
      </c>
      <c r="S5" s="7">
        <f t="shared" si="1"/>
        <v>2.6850087014170798E-2</v>
      </c>
      <c r="T5" s="216" t="s">
        <v>60</v>
      </c>
      <c r="U5" s="5"/>
      <c r="V5" s="65"/>
      <c r="W5" s="65"/>
      <c r="X5" s="65">
        <v>155</v>
      </c>
      <c r="Y5" s="65">
        <f>SUM(V5:X5)</f>
        <v>155</v>
      </c>
      <c r="AA5" s="67">
        <f>Y5+K5</f>
        <v>367</v>
      </c>
      <c r="AB5" s="67"/>
      <c r="AC5" s="69">
        <f>AA5-AB5</f>
        <v>367</v>
      </c>
      <c r="AD5" s="69"/>
      <c r="AE5" s="67">
        <f>AD5+AC5</f>
        <v>367</v>
      </c>
    </row>
    <row r="6" spans="1:31" ht="15.75" thickBot="1" x14ac:dyDescent="0.3">
      <c r="A6" s="228"/>
      <c r="B6" s="68" t="s">
        <v>7</v>
      </c>
      <c r="C6" s="3"/>
      <c r="D6" s="65">
        <v>18</v>
      </c>
      <c r="E6" s="65">
        <v>7</v>
      </c>
      <c r="F6" s="65">
        <v>17</v>
      </c>
      <c r="G6" s="65">
        <v>2</v>
      </c>
      <c r="H6" s="5"/>
      <c r="I6" s="65">
        <f t="shared" ref="I6:I7" si="2">SUM(G6,F6,E6)</f>
        <v>26</v>
      </c>
      <c r="J6" s="65"/>
      <c r="K6" s="65">
        <f t="shared" ref="K6:K7" si="3">I6-J6</f>
        <v>26</v>
      </c>
      <c r="L6" s="5"/>
      <c r="M6" s="74">
        <v>1569900</v>
      </c>
      <c r="N6" s="74">
        <v>1416700</v>
      </c>
      <c r="O6" s="75"/>
      <c r="P6" s="74">
        <v>1569900</v>
      </c>
      <c r="Q6" s="74">
        <v>1462700</v>
      </c>
      <c r="R6" s="6">
        <f t="shared" si="1"/>
        <v>0</v>
      </c>
      <c r="S6" s="7">
        <f t="shared" si="1"/>
        <v>3.2469824239429679E-2</v>
      </c>
      <c r="T6" s="217"/>
      <c r="U6" s="5"/>
      <c r="V6" s="65"/>
      <c r="W6" s="65"/>
      <c r="X6" s="65">
        <v>6</v>
      </c>
      <c r="Y6" s="65">
        <f t="shared" ref="Y6:Y7" si="4">SUM(V6:X6)</f>
        <v>6</v>
      </c>
      <c r="AA6" s="93">
        <f t="shared" ref="AA6:AA7" si="5">Y6+K6</f>
        <v>32</v>
      </c>
      <c r="AB6" s="94"/>
      <c r="AC6" s="96">
        <f t="shared" ref="AC6:AC7" si="6">AA6-AB6</f>
        <v>32</v>
      </c>
      <c r="AD6" s="96"/>
      <c r="AE6" s="93">
        <f t="shared" ref="AE6:AE7" si="7">AD6+AC6</f>
        <v>32</v>
      </c>
    </row>
    <row r="7" spans="1:31" ht="15.75" thickBot="1" x14ac:dyDescent="0.3">
      <c r="A7" s="228"/>
      <c r="B7" s="97" t="s">
        <v>8</v>
      </c>
      <c r="C7" s="3"/>
      <c r="D7" s="35"/>
      <c r="E7" s="35"/>
      <c r="F7" s="35"/>
      <c r="G7" s="35"/>
      <c r="H7" s="5"/>
      <c r="I7" s="4">
        <f t="shared" si="2"/>
        <v>0</v>
      </c>
      <c r="J7" s="4"/>
      <c r="K7" s="4">
        <f t="shared" si="3"/>
        <v>0</v>
      </c>
      <c r="L7" s="5"/>
      <c r="M7" s="90"/>
      <c r="N7" s="90"/>
      <c r="O7" s="75"/>
      <c r="P7" s="90"/>
      <c r="Q7" s="90"/>
      <c r="R7" s="91"/>
      <c r="S7" s="88"/>
      <c r="T7" s="108"/>
      <c r="U7" s="132"/>
      <c r="V7" s="92"/>
      <c r="W7" s="92"/>
      <c r="X7" s="92">
        <v>0</v>
      </c>
      <c r="Y7" s="92">
        <f t="shared" si="4"/>
        <v>0</v>
      </c>
      <c r="AA7" s="95">
        <f t="shared" si="5"/>
        <v>0</v>
      </c>
      <c r="AB7" s="32"/>
      <c r="AC7" s="95">
        <f t="shared" si="6"/>
        <v>0</v>
      </c>
      <c r="AD7" s="95"/>
      <c r="AE7" s="95">
        <f t="shared" si="7"/>
        <v>0</v>
      </c>
    </row>
    <row r="8" spans="1:31" ht="15.75" thickBot="1" x14ac:dyDescent="0.3">
      <c r="A8" s="9"/>
      <c r="B8" s="53" t="s">
        <v>9</v>
      </c>
      <c r="C8" s="41"/>
      <c r="D8" s="36">
        <f t="shared" ref="D8" si="8">SUM(D4:D7)</f>
        <v>206</v>
      </c>
      <c r="E8" s="36">
        <f>SUM(E4:E7)</f>
        <v>135</v>
      </c>
      <c r="F8" s="36">
        <f>SUM(F5:F7)</f>
        <v>79</v>
      </c>
      <c r="G8" s="70">
        <f>SUM(G5:G7)</f>
        <v>24</v>
      </c>
      <c r="H8" s="10"/>
      <c r="I8" s="50">
        <f>SUM(I4:I7)</f>
        <v>238</v>
      </c>
      <c r="J8" s="50">
        <f>SUM(J4:J7)</f>
        <v>0</v>
      </c>
      <c r="K8" s="50">
        <f t="shared" ref="K8" si="9">SUM(K4:K7)</f>
        <v>238</v>
      </c>
      <c r="L8" s="10"/>
      <c r="O8" s="10"/>
      <c r="R8" s="11"/>
      <c r="S8" s="76"/>
      <c r="T8" s="32"/>
      <c r="U8" s="10"/>
      <c r="V8" s="36">
        <f t="shared" ref="V8:X8" si="10">SUM(V4:V7)</f>
        <v>0</v>
      </c>
      <c r="W8" s="36">
        <f t="shared" si="10"/>
        <v>0</v>
      </c>
      <c r="X8" s="36">
        <f t="shared" si="10"/>
        <v>161</v>
      </c>
      <c r="Y8" s="36">
        <f>SUM(Y4:Y7)</f>
        <v>161</v>
      </c>
      <c r="AA8" s="50">
        <f>SUM(AA5:AA7)</f>
        <v>399</v>
      </c>
      <c r="AB8" s="36">
        <f>SUM(AB4:AB7)</f>
        <v>0</v>
      </c>
      <c r="AC8" s="36">
        <f>SUM(AC5:AC7)</f>
        <v>399</v>
      </c>
      <c r="AD8" s="36">
        <f>SUM(AD4:AD7)</f>
        <v>0</v>
      </c>
      <c r="AE8" s="36">
        <f t="shared" ref="AE8" si="11">SUM(AE4:AE7)</f>
        <v>399</v>
      </c>
    </row>
    <row r="9" spans="1:31" ht="15.75" thickBot="1" x14ac:dyDescent="0.3"/>
    <row r="10" spans="1:31" ht="14.45" customHeight="1" x14ac:dyDescent="0.25">
      <c r="A10" s="229" t="s">
        <v>10</v>
      </c>
      <c r="B10" s="79" t="s">
        <v>11</v>
      </c>
      <c r="C10" s="15"/>
      <c r="D10" s="63">
        <v>31</v>
      </c>
      <c r="E10" s="63">
        <v>17</v>
      </c>
      <c r="F10" s="63">
        <v>37</v>
      </c>
      <c r="G10" s="63">
        <v>7</v>
      </c>
      <c r="I10" s="63">
        <f t="shared" ref="I10:I14" si="12">SUM(G10,F10,E10)</f>
        <v>61</v>
      </c>
      <c r="J10" s="63"/>
      <c r="K10" s="63">
        <f t="shared" ref="K10:K14" si="13">I10-J10</f>
        <v>61</v>
      </c>
      <c r="M10" s="74">
        <v>1439900</v>
      </c>
      <c r="N10" s="74">
        <v>1282500</v>
      </c>
      <c r="O10" s="83"/>
      <c r="P10" s="74">
        <v>1439900</v>
      </c>
      <c r="Q10" s="74">
        <v>1316300</v>
      </c>
      <c r="R10" s="8">
        <f t="shared" ref="R10:S13" si="14">P10/M10-1</f>
        <v>0</v>
      </c>
      <c r="S10" s="72">
        <f t="shared" si="14"/>
        <v>2.6354775828460131E-2</v>
      </c>
      <c r="T10" s="220" t="s">
        <v>60</v>
      </c>
      <c r="V10" s="65"/>
      <c r="W10" s="65"/>
      <c r="X10" s="65">
        <v>10</v>
      </c>
      <c r="Y10" s="65">
        <f t="shared" ref="Y10:Y14" si="15">SUM(V10:X10)</f>
        <v>10</v>
      </c>
      <c r="AA10" s="65">
        <f t="shared" ref="AA10:AA14" si="16">Y10+K10</f>
        <v>71</v>
      </c>
      <c r="AB10" s="65"/>
      <c r="AC10" s="65">
        <f t="shared" ref="AC10:AC14" si="17">AA10-AB10</f>
        <v>71</v>
      </c>
      <c r="AD10" s="65"/>
      <c r="AE10" s="65">
        <f t="shared" ref="AE10:AE14" si="18">AD10+AC10</f>
        <v>71</v>
      </c>
    </row>
    <row r="11" spans="1:31" ht="14.45" customHeight="1" x14ac:dyDescent="0.25">
      <c r="A11" s="229"/>
      <c r="B11" s="79" t="s">
        <v>13</v>
      </c>
      <c r="C11" s="15"/>
      <c r="D11" s="63">
        <v>2</v>
      </c>
      <c r="E11" s="63">
        <v>1</v>
      </c>
      <c r="F11" s="63">
        <v>2</v>
      </c>
      <c r="G11" s="63"/>
      <c r="I11" s="63">
        <f t="shared" si="12"/>
        <v>3</v>
      </c>
      <c r="J11" s="63"/>
      <c r="K11" s="63">
        <f t="shared" si="13"/>
        <v>3</v>
      </c>
      <c r="M11" s="74">
        <v>1619900</v>
      </c>
      <c r="N11" s="74">
        <v>1413500</v>
      </c>
      <c r="O11" s="83"/>
      <c r="P11" s="74">
        <v>1619900</v>
      </c>
      <c r="Q11" s="74">
        <v>1435700</v>
      </c>
      <c r="R11" s="8">
        <f t="shared" si="14"/>
        <v>0</v>
      </c>
      <c r="S11" s="72">
        <f t="shared" si="14"/>
        <v>1.5705695083126914E-2</v>
      </c>
      <c r="T11" s="216"/>
      <c r="V11" s="65"/>
      <c r="W11" s="65"/>
      <c r="X11" s="65">
        <v>9</v>
      </c>
      <c r="Y11" s="65">
        <f t="shared" si="15"/>
        <v>9</v>
      </c>
      <c r="AA11" s="65">
        <f t="shared" si="16"/>
        <v>12</v>
      </c>
      <c r="AB11" s="65"/>
      <c r="AC11" s="65">
        <f t="shared" si="17"/>
        <v>12</v>
      </c>
      <c r="AD11" s="65"/>
      <c r="AE11" s="65">
        <f t="shared" si="18"/>
        <v>12</v>
      </c>
    </row>
    <row r="12" spans="1:31" ht="14.45" customHeight="1" x14ac:dyDescent="0.25">
      <c r="A12" s="229"/>
      <c r="B12" s="79" t="s">
        <v>14</v>
      </c>
      <c r="C12" s="15"/>
      <c r="D12" s="64">
        <v>42</v>
      </c>
      <c r="E12" s="64">
        <v>29</v>
      </c>
      <c r="F12" s="64">
        <v>24</v>
      </c>
      <c r="G12" s="64">
        <v>6</v>
      </c>
      <c r="I12" s="64">
        <f t="shared" si="12"/>
        <v>59</v>
      </c>
      <c r="J12" s="64"/>
      <c r="K12" s="64">
        <f t="shared" si="13"/>
        <v>59</v>
      </c>
      <c r="M12" s="74">
        <v>1689900</v>
      </c>
      <c r="N12" s="74">
        <v>1474700</v>
      </c>
      <c r="O12" s="83"/>
      <c r="P12" s="74">
        <v>1689900</v>
      </c>
      <c r="Q12" s="74">
        <v>1498000</v>
      </c>
      <c r="R12" s="8">
        <f t="shared" si="14"/>
        <v>0</v>
      </c>
      <c r="S12" s="72">
        <f t="shared" si="14"/>
        <v>1.5799823692954407E-2</v>
      </c>
      <c r="T12" s="216"/>
      <c r="V12" s="65"/>
      <c r="W12" s="65"/>
      <c r="X12" s="65"/>
      <c r="Y12" s="65">
        <f t="shared" si="15"/>
        <v>0</v>
      </c>
      <c r="AA12" s="65">
        <f t="shared" si="16"/>
        <v>59</v>
      </c>
      <c r="AB12" s="65"/>
      <c r="AC12" s="65">
        <f t="shared" si="17"/>
        <v>59</v>
      </c>
      <c r="AD12" s="65"/>
      <c r="AE12" s="65">
        <f t="shared" si="18"/>
        <v>59</v>
      </c>
    </row>
    <row r="13" spans="1:31" ht="15.75" thickBot="1" x14ac:dyDescent="0.3">
      <c r="A13" s="229"/>
      <c r="B13" s="79" t="s">
        <v>15</v>
      </c>
      <c r="C13" s="15"/>
      <c r="D13" s="63">
        <v>28</v>
      </c>
      <c r="E13" s="63">
        <v>17</v>
      </c>
      <c r="F13" s="63">
        <v>19</v>
      </c>
      <c r="G13" s="63">
        <v>15</v>
      </c>
      <c r="I13" s="63">
        <f t="shared" si="12"/>
        <v>51</v>
      </c>
      <c r="J13" s="63"/>
      <c r="K13" s="63">
        <f t="shared" si="13"/>
        <v>51</v>
      </c>
      <c r="M13" s="106">
        <v>1849900</v>
      </c>
      <c r="N13" s="74">
        <v>1591200</v>
      </c>
      <c r="O13" s="83"/>
      <c r="P13" s="106">
        <v>1849900</v>
      </c>
      <c r="Q13" s="74">
        <v>1591200</v>
      </c>
      <c r="R13" s="8">
        <f t="shared" si="14"/>
        <v>0</v>
      </c>
      <c r="S13" s="72">
        <f t="shared" si="14"/>
        <v>0</v>
      </c>
      <c r="T13" s="217"/>
      <c r="V13" s="69"/>
      <c r="W13" s="69"/>
      <c r="X13" s="69">
        <v>24</v>
      </c>
      <c r="Y13" s="69">
        <f t="shared" si="15"/>
        <v>24</v>
      </c>
      <c r="AA13" s="69">
        <f t="shared" si="16"/>
        <v>75</v>
      </c>
      <c r="AB13" s="69"/>
      <c r="AC13" s="69">
        <f t="shared" si="17"/>
        <v>75</v>
      </c>
      <c r="AD13" s="69"/>
      <c r="AE13" s="69">
        <f t="shared" si="18"/>
        <v>75</v>
      </c>
    </row>
    <row r="14" spans="1:31" ht="15.75" thickBot="1" x14ac:dyDescent="0.3">
      <c r="A14" s="229"/>
      <c r="B14" s="98" t="s">
        <v>8</v>
      </c>
      <c r="C14" s="15"/>
      <c r="D14" s="99"/>
      <c r="E14" s="99">
        <v>2</v>
      </c>
      <c r="F14" s="99"/>
      <c r="G14" s="99"/>
      <c r="I14" s="99">
        <f t="shared" si="12"/>
        <v>2</v>
      </c>
      <c r="J14" s="99"/>
      <c r="K14" s="99">
        <f t="shared" si="13"/>
        <v>2</v>
      </c>
      <c r="M14" s="90"/>
      <c r="N14" s="90"/>
      <c r="O14" s="83"/>
      <c r="P14" s="90"/>
      <c r="Q14" s="90"/>
      <c r="R14" s="87"/>
      <c r="S14" s="88"/>
      <c r="T14" s="108"/>
      <c r="V14" s="100"/>
      <c r="W14" s="100"/>
      <c r="X14" s="100"/>
      <c r="Y14" s="100">
        <f t="shared" si="15"/>
        <v>0</v>
      </c>
      <c r="Z14" s="143"/>
      <c r="AA14" s="100">
        <f t="shared" si="16"/>
        <v>2</v>
      </c>
      <c r="AB14" s="95"/>
      <c r="AC14" s="95">
        <f t="shared" si="17"/>
        <v>2</v>
      </c>
      <c r="AD14" s="95"/>
      <c r="AE14" s="100">
        <f t="shared" si="18"/>
        <v>2</v>
      </c>
    </row>
    <row r="15" spans="1:31" ht="15.75" thickBot="1" x14ac:dyDescent="0.3">
      <c r="A15" s="9"/>
      <c r="B15" s="57" t="s">
        <v>17</v>
      </c>
      <c r="C15" s="18"/>
      <c r="D15" s="36">
        <f t="shared" ref="D15:G15" si="19">SUM(D10:D14)</f>
        <v>103</v>
      </c>
      <c r="E15" s="36">
        <f>SUM(E10:E14)</f>
        <v>66</v>
      </c>
      <c r="F15" s="36">
        <f t="shared" si="19"/>
        <v>82</v>
      </c>
      <c r="G15" s="36">
        <f t="shared" si="19"/>
        <v>28</v>
      </c>
      <c r="H15" s="10"/>
      <c r="I15" s="36">
        <f>SUM(I10:I14)</f>
        <v>176</v>
      </c>
      <c r="J15" s="36">
        <f t="shared" ref="J15:K15" si="20">SUM(J10:J14)</f>
        <v>0</v>
      </c>
      <c r="K15" s="36">
        <f t="shared" si="20"/>
        <v>176</v>
      </c>
      <c r="L15" s="10"/>
      <c r="M15" s="18"/>
      <c r="N15" s="18"/>
      <c r="O15" s="10"/>
      <c r="P15" s="18"/>
      <c r="Q15" s="18"/>
      <c r="R15" s="18"/>
      <c r="S15" s="18"/>
      <c r="T15" s="18"/>
      <c r="U15" s="10"/>
      <c r="V15" s="89">
        <f t="shared" ref="V15:X15" si="21">SUM(V10:V14)</f>
        <v>0</v>
      </c>
      <c r="W15" s="89">
        <f t="shared" si="21"/>
        <v>0</v>
      </c>
      <c r="X15" s="89">
        <f t="shared" si="21"/>
        <v>43</v>
      </c>
      <c r="Y15" s="89">
        <f>SUM(Y10:Y14)</f>
        <v>43</v>
      </c>
      <c r="AA15" s="50">
        <f>SUM(AA10:AA14)</f>
        <v>219</v>
      </c>
      <c r="AB15" s="50">
        <f>SUM(AB10:AB14)</f>
        <v>0</v>
      </c>
      <c r="AC15" s="50">
        <f>SUM(AC10:AC14)</f>
        <v>219</v>
      </c>
      <c r="AD15" s="50">
        <f t="shared" ref="AD15:AE15" si="22">SUM(AD10:AD14)</f>
        <v>0</v>
      </c>
      <c r="AE15" s="50">
        <f t="shared" si="22"/>
        <v>219</v>
      </c>
    </row>
    <row r="16" spans="1:31" ht="15.75" thickBot="1" x14ac:dyDescent="0.3">
      <c r="A16" s="19"/>
      <c r="B16" s="58"/>
      <c r="C16" s="20"/>
      <c r="D16" s="21"/>
      <c r="E16" s="21"/>
      <c r="F16" s="21"/>
      <c r="G16" s="21"/>
      <c r="I16" s="21"/>
      <c r="J16" s="21"/>
      <c r="K16" s="21"/>
      <c r="M16" s="23"/>
      <c r="N16" s="23"/>
      <c r="O16" s="22"/>
      <c r="P16" s="23"/>
      <c r="Q16" s="23"/>
      <c r="R16" s="23"/>
      <c r="S16" s="23"/>
      <c r="T16" s="23"/>
      <c r="V16" s="86"/>
      <c r="W16" s="86"/>
      <c r="X16" s="86"/>
      <c r="Y16" s="86"/>
      <c r="AA16" s="21"/>
      <c r="AB16" s="21"/>
      <c r="AC16" s="24"/>
      <c r="AD16" s="24"/>
      <c r="AE16" s="21"/>
    </row>
    <row r="17" spans="1:31" ht="14.45" customHeight="1" x14ac:dyDescent="0.25">
      <c r="A17" s="237" t="s">
        <v>18</v>
      </c>
      <c r="B17" s="66" t="s">
        <v>19</v>
      </c>
      <c r="C17" s="15"/>
      <c r="D17" s="63">
        <v>408</v>
      </c>
      <c r="E17" s="63">
        <v>265</v>
      </c>
      <c r="F17" s="63">
        <v>173</v>
      </c>
      <c r="G17" s="63">
        <v>18</v>
      </c>
      <c r="I17" s="63">
        <f t="shared" ref="I17:I21" si="23">SUM(G17,F17,E17)</f>
        <v>456</v>
      </c>
      <c r="J17" s="63"/>
      <c r="K17" s="63">
        <f t="shared" ref="K17:K21" si="24">I17-J17</f>
        <v>456</v>
      </c>
      <c r="M17" s="74">
        <v>1539900</v>
      </c>
      <c r="N17" s="74">
        <v>1328700</v>
      </c>
      <c r="O17" s="83"/>
      <c r="P17" s="74">
        <v>1539900</v>
      </c>
      <c r="Q17" s="74">
        <v>1393300</v>
      </c>
      <c r="R17" s="84">
        <f t="shared" ref="R17:S20" si="25">P17/M17-1</f>
        <v>0</v>
      </c>
      <c r="S17" s="72">
        <f t="shared" si="25"/>
        <v>4.8618950854218301E-2</v>
      </c>
      <c r="T17" s="221" t="s">
        <v>12</v>
      </c>
      <c r="V17" s="63"/>
      <c r="W17" s="63"/>
      <c r="X17" s="63">
        <v>40</v>
      </c>
      <c r="Y17" s="63">
        <f t="shared" ref="Y17:Y21" si="26">SUM(V17:X17)</f>
        <v>40</v>
      </c>
      <c r="AA17" s="65">
        <f t="shared" ref="AA17:AA21" si="27">Y17+K17</f>
        <v>496</v>
      </c>
      <c r="AB17" s="65"/>
      <c r="AC17" s="65">
        <f t="shared" ref="AC17:AC21" si="28">AA17-AB17</f>
        <v>496</v>
      </c>
      <c r="AD17" s="65"/>
      <c r="AE17" s="67">
        <f t="shared" ref="AE17:AE21" si="29">AD17+AC17</f>
        <v>496</v>
      </c>
    </row>
    <row r="18" spans="1:31" x14ac:dyDescent="0.25">
      <c r="A18" s="237"/>
      <c r="B18" s="66" t="s">
        <v>20</v>
      </c>
      <c r="C18" s="15"/>
      <c r="D18" s="63">
        <v>107</v>
      </c>
      <c r="E18" s="63">
        <v>55</v>
      </c>
      <c r="F18" s="63">
        <v>56</v>
      </c>
      <c r="G18" s="63">
        <v>24</v>
      </c>
      <c r="I18" s="63">
        <f t="shared" si="23"/>
        <v>135</v>
      </c>
      <c r="J18" s="63"/>
      <c r="K18" s="63">
        <f t="shared" si="24"/>
        <v>135</v>
      </c>
      <c r="M18" s="74">
        <v>1719900</v>
      </c>
      <c r="N18" s="74">
        <v>1415800</v>
      </c>
      <c r="O18" s="83"/>
      <c r="P18" s="74">
        <v>1719900</v>
      </c>
      <c r="Q18" s="74">
        <v>1485000</v>
      </c>
      <c r="R18" s="84">
        <f t="shared" si="25"/>
        <v>0</v>
      </c>
      <c r="S18" s="72">
        <f t="shared" si="25"/>
        <v>4.8876960022602001E-2</v>
      </c>
      <c r="T18" s="222"/>
      <c r="V18" s="63"/>
      <c r="W18" s="63"/>
      <c r="X18" s="63">
        <v>283</v>
      </c>
      <c r="Y18" s="63">
        <f t="shared" si="26"/>
        <v>283</v>
      </c>
      <c r="AA18" s="65">
        <f t="shared" si="27"/>
        <v>418</v>
      </c>
      <c r="AB18" s="65"/>
      <c r="AC18" s="65">
        <f t="shared" si="28"/>
        <v>418</v>
      </c>
      <c r="AD18" s="65"/>
      <c r="AE18" s="67">
        <f t="shared" si="29"/>
        <v>418</v>
      </c>
    </row>
    <row r="19" spans="1:31" x14ac:dyDescent="0.25">
      <c r="A19" s="237"/>
      <c r="B19" s="66" t="s">
        <v>21</v>
      </c>
      <c r="C19" s="15"/>
      <c r="D19" s="63">
        <v>60</v>
      </c>
      <c r="E19" s="63">
        <v>19</v>
      </c>
      <c r="F19" s="63">
        <v>42</v>
      </c>
      <c r="G19" s="63">
        <v>7</v>
      </c>
      <c r="I19" s="64">
        <f t="shared" si="23"/>
        <v>68</v>
      </c>
      <c r="J19" s="64"/>
      <c r="K19" s="64">
        <f t="shared" si="24"/>
        <v>68</v>
      </c>
      <c r="M19" s="106">
        <v>1809900</v>
      </c>
      <c r="N19" s="74">
        <v>1577600</v>
      </c>
      <c r="O19" s="83"/>
      <c r="P19" s="106">
        <v>1809900</v>
      </c>
      <c r="Q19" s="74">
        <v>1602300</v>
      </c>
      <c r="R19" s="84">
        <f t="shared" si="25"/>
        <v>0</v>
      </c>
      <c r="S19" s="72">
        <f t="shared" si="25"/>
        <v>1.565669371196754E-2</v>
      </c>
      <c r="T19" s="222"/>
      <c r="V19" s="64"/>
      <c r="W19" s="64"/>
      <c r="X19" s="64">
        <v>84</v>
      </c>
      <c r="Y19" s="64">
        <f t="shared" si="26"/>
        <v>84</v>
      </c>
      <c r="AA19" s="65">
        <f t="shared" si="27"/>
        <v>152</v>
      </c>
      <c r="AB19" s="65"/>
      <c r="AC19" s="65">
        <f t="shared" si="28"/>
        <v>152</v>
      </c>
      <c r="AD19" s="65"/>
      <c r="AE19" s="67">
        <f t="shared" si="29"/>
        <v>152</v>
      </c>
    </row>
    <row r="20" spans="1:31" ht="15.75" thickBot="1" x14ac:dyDescent="0.3">
      <c r="A20" s="237"/>
      <c r="B20" s="66" t="s">
        <v>22</v>
      </c>
      <c r="C20" s="15"/>
      <c r="D20" s="63">
        <v>45</v>
      </c>
      <c r="E20" s="63">
        <v>35</v>
      </c>
      <c r="F20" s="63">
        <v>24</v>
      </c>
      <c r="G20" s="63">
        <v>7</v>
      </c>
      <c r="I20" s="64">
        <f t="shared" si="23"/>
        <v>66</v>
      </c>
      <c r="J20" s="64"/>
      <c r="K20" s="64">
        <f t="shared" si="24"/>
        <v>66</v>
      </c>
      <c r="M20" s="74">
        <v>1999900</v>
      </c>
      <c r="N20" s="103">
        <v>1699700</v>
      </c>
      <c r="O20" s="83"/>
      <c r="P20" s="74">
        <v>1999900</v>
      </c>
      <c r="Q20" s="103">
        <v>1754200</v>
      </c>
      <c r="R20" s="84">
        <f t="shared" si="25"/>
        <v>0</v>
      </c>
      <c r="S20" s="104">
        <f t="shared" si="25"/>
        <v>3.2064481967406078E-2</v>
      </c>
      <c r="T20" s="223"/>
      <c r="V20" s="64"/>
      <c r="W20" s="64"/>
      <c r="X20" s="64">
        <v>30</v>
      </c>
      <c r="Y20" s="64">
        <f t="shared" si="26"/>
        <v>30</v>
      </c>
      <c r="AA20" s="65">
        <f t="shared" si="27"/>
        <v>96</v>
      </c>
      <c r="AB20" s="65"/>
      <c r="AC20" s="65">
        <f t="shared" si="28"/>
        <v>96</v>
      </c>
      <c r="AD20" s="65"/>
      <c r="AE20" s="93">
        <f t="shared" si="29"/>
        <v>96</v>
      </c>
    </row>
    <row r="21" spans="1:31" ht="15.75" thickBot="1" x14ac:dyDescent="0.3">
      <c r="A21" s="229"/>
      <c r="B21" s="131" t="s">
        <v>8</v>
      </c>
      <c r="C21" s="15"/>
      <c r="D21" s="44"/>
      <c r="E21" s="44">
        <v>1</v>
      </c>
      <c r="F21" s="44">
        <v>1</v>
      </c>
      <c r="G21" s="44"/>
      <c r="I21" s="99">
        <f t="shared" si="23"/>
        <v>2</v>
      </c>
      <c r="J21" s="99"/>
      <c r="K21" s="99">
        <f t="shared" si="24"/>
        <v>2</v>
      </c>
      <c r="M21" s="101"/>
      <c r="N21" s="101"/>
      <c r="O21" s="83"/>
      <c r="P21" s="101"/>
      <c r="Q21" s="101"/>
      <c r="R21" s="101"/>
      <c r="S21" s="102"/>
      <c r="T21" s="109"/>
      <c r="V21" s="95"/>
      <c r="W21" s="95"/>
      <c r="X21" s="95"/>
      <c r="Y21" s="95">
        <f t="shared" si="26"/>
        <v>0</v>
      </c>
      <c r="AA21" s="35">
        <f t="shared" si="27"/>
        <v>2</v>
      </c>
      <c r="AB21" s="35"/>
      <c r="AC21" s="35">
        <f t="shared" si="28"/>
        <v>2</v>
      </c>
      <c r="AD21" s="71"/>
      <c r="AE21" s="95">
        <f t="shared" si="29"/>
        <v>2</v>
      </c>
    </row>
    <row r="22" spans="1:31" ht="15.75" thickBot="1" x14ac:dyDescent="0.3">
      <c r="A22" s="9"/>
      <c r="B22" s="57" t="s">
        <v>23</v>
      </c>
      <c r="C22" s="18"/>
      <c r="D22" s="36">
        <f>SUM(D17:D21)</f>
        <v>620</v>
      </c>
      <c r="E22" s="36">
        <f t="shared" ref="E22:G22" si="30">SUM(E17:E21)</f>
        <v>375</v>
      </c>
      <c r="F22" s="36">
        <f t="shared" si="30"/>
        <v>296</v>
      </c>
      <c r="G22" s="70">
        <f t="shared" si="30"/>
        <v>56</v>
      </c>
      <c r="H22" s="10"/>
      <c r="I22" s="36">
        <f>SUM(I17:I21)</f>
        <v>727</v>
      </c>
      <c r="J22" s="36">
        <f t="shared" ref="J22:K22" si="31">SUM(J17:J21)</f>
        <v>0</v>
      </c>
      <c r="K22" s="36">
        <f t="shared" si="31"/>
        <v>727</v>
      </c>
      <c r="L22" s="10"/>
      <c r="M22" s="73"/>
      <c r="N22" s="73"/>
      <c r="O22" s="10"/>
      <c r="P22" s="73"/>
      <c r="Q22" s="73"/>
      <c r="R22" s="73"/>
      <c r="S22" s="73"/>
      <c r="T22" s="73"/>
      <c r="U22" s="10"/>
      <c r="V22" s="50">
        <f t="shared" ref="V22:X22" si="32">SUM(V17:V21)</f>
        <v>0</v>
      </c>
      <c r="W22" s="50">
        <f t="shared" si="32"/>
        <v>0</v>
      </c>
      <c r="X22" s="50">
        <f t="shared" si="32"/>
        <v>437</v>
      </c>
      <c r="Y22" s="50">
        <f>SUM(Y17:Y21)</f>
        <v>437</v>
      </c>
      <c r="AA22" s="36">
        <f>SUM(AA17:AA21)</f>
        <v>1164</v>
      </c>
      <c r="AB22" s="36">
        <f>SUM(AB17:AB21)</f>
        <v>0</v>
      </c>
      <c r="AC22" s="70">
        <f>SUM(AC17:AC21)</f>
        <v>1164</v>
      </c>
      <c r="AD22" s="36">
        <f t="shared" ref="AD22:AE22" si="33">SUM(AD17:AD21)</f>
        <v>0</v>
      </c>
      <c r="AE22" s="36">
        <f t="shared" si="33"/>
        <v>1164</v>
      </c>
    </row>
    <row r="23" spans="1:31" ht="15.75" thickBot="1" x14ac:dyDescent="0.3">
      <c r="A23" s="19"/>
      <c r="B23" s="58"/>
      <c r="C23" s="20"/>
      <c r="D23" s="21"/>
      <c r="E23" s="21"/>
      <c r="F23" s="21"/>
      <c r="G23" s="21"/>
      <c r="I23" s="21"/>
      <c r="J23" s="21"/>
      <c r="K23" s="21"/>
      <c r="M23" s="11"/>
      <c r="N23" s="11"/>
      <c r="O23" s="22"/>
      <c r="P23" s="11"/>
      <c r="Q23" s="11"/>
      <c r="R23" s="11"/>
      <c r="S23" s="25"/>
      <c r="T23" s="25"/>
      <c r="V23" s="21"/>
      <c r="W23" s="21"/>
      <c r="X23" s="21"/>
      <c r="Y23" s="21"/>
      <c r="AA23" s="21"/>
      <c r="AB23" s="21"/>
      <c r="AC23" s="24"/>
      <c r="AD23" s="24"/>
      <c r="AE23" s="21"/>
    </row>
    <row r="24" spans="1:31" x14ac:dyDescent="0.25">
      <c r="A24" s="230" t="s">
        <v>24</v>
      </c>
      <c r="B24" s="59" t="s">
        <v>25</v>
      </c>
      <c r="C24" s="15"/>
      <c r="D24" s="16">
        <v>206</v>
      </c>
      <c r="E24" s="16">
        <v>307</v>
      </c>
      <c r="F24" s="16">
        <v>78</v>
      </c>
      <c r="G24" s="16">
        <v>14</v>
      </c>
      <c r="I24" s="16">
        <f t="shared" ref="I24:I27" si="34">SUM(G24,F24,E24)</f>
        <v>399</v>
      </c>
      <c r="J24" s="16"/>
      <c r="K24" s="16">
        <f t="shared" ref="K24:K27" si="35">I24-J24</f>
        <v>399</v>
      </c>
      <c r="M24" s="4">
        <v>2009900</v>
      </c>
      <c r="N24" s="4">
        <v>1981600</v>
      </c>
      <c r="P24" s="4">
        <v>2009900</v>
      </c>
      <c r="Q24" s="4">
        <v>1827000</v>
      </c>
      <c r="R24" s="8">
        <f t="shared" ref="R24:S26" si="36">IFERROR(P24/M24-1,0)</f>
        <v>0</v>
      </c>
      <c r="S24" s="7">
        <f t="shared" si="36"/>
        <v>-7.80177634234962E-2</v>
      </c>
      <c r="T24" s="220" t="s">
        <v>62</v>
      </c>
      <c r="V24" s="4"/>
      <c r="W24" s="4"/>
      <c r="X24" s="4">
        <v>69</v>
      </c>
      <c r="Y24" s="4">
        <f t="shared" ref="Y24:Y26" si="37">SUM(V24:X24)</f>
        <v>69</v>
      </c>
      <c r="AA24" s="4">
        <f t="shared" ref="AA24:AA27" si="38">Y24+K24</f>
        <v>468</v>
      </c>
      <c r="AB24" s="4"/>
      <c r="AC24" s="4">
        <f t="shared" ref="AC24:AC27" si="39">AA24-AB24</f>
        <v>468</v>
      </c>
      <c r="AD24" s="4"/>
      <c r="AE24" s="35">
        <f t="shared" ref="AE24:AE26" si="40">AD24+AC24</f>
        <v>468</v>
      </c>
    </row>
    <row r="25" spans="1:31" ht="15.75" thickBot="1" x14ac:dyDescent="0.3">
      <c r="A25" s="231"/>
      <c r="B25" s="59" t="s">
        <v>26</v>
      </c>
      <c r="C25" s="15"/>
      <c r="D25" s="16">
        <v>76</v>
      </c>
      <c r="E25" s="16">
        <v>79</v>
      </c>
      <c r="F25" s="16">
        <v>40</v>
      </c>
      <c r="G25" s="16">
        <v>4</v>
      </c>
      <c r="I25" s="16">
        <f t="shared" si="34"/>
        <v>123</v>
      </c>
      <c r="J25" s="16"/>
      <c r="K25" s="16">
        <f t="shared" si="35"/>
        <v>123</v>
      </c>
      <c r="M25" s="4">
        <v>2159900</v>
      </c>
      <c r="N25" s="4">
        <v>2117700</v>
      </c>
      <c r="P25" s="4">
        <v>2159900</v>
      </c>
      <c r="Q25" s="4">
        <v>2000000</v>
      </c>
      <c r="R25" s="8">
        <f t="shared" si="36"/>
        <v>0</v>
      </c>
      <c r="S25" s="7">
        <f t="shared" si="36"/>
        <v>-5.5579166076403674E-2</v>
      </c>
      <c r="T25" s="234"/>
      <c r="V25" s="4"/>
      <c r="W25" s="4"/>
      <c r="X25" s="4">
        <v>1</v>
      </c>
      <c r="Y25" s="4">
        <f t="shared" si="37"/>
        <v>1</v>
      </c>
      <c r="AA25" s="4">
        <f t="shared" si="38"/>
        <v>124</v>
      </c>
      <c r="AB25" s="4"/>
      <c r="AC25" s="4">
        <f t="shared" si="39"/>
        <v>124</v>
      </c>
      <c r="AD25" s="4"/>
      <c r="AE25" s="35">
        <f t="shared" si="40"/>
        <v>124</v>
      </c>
    </row>
    <row r="26" spans="1:31" ht="15.75" thickBot="1" x14ac:dyDescent="0.3">
      <c r="A26" s="232"/>
      <c r="B26" s="78" t="s">
        <v>27</v>
      </c>
      <c r="C26" s="15"/>
      <c r="D26" s="16">
        <v>68</v>
      </c>
      <c r="E26" s="16">
        <v>81</v>
      </c>
      <c r="F26" s="16">
        <v>102</v>
      </c>
      <c r="G26" s="16">
        <v>1</v>
      </c>
      <c r="I26" s="16">
        <f t="shared" si="34"/>
        <v>184</v>
      </c>
      <c r="J26" s="16"/>
      <c r="K26" s="16">
        <f t="shared" si="35"/>
        <v>184</v>
      </c>
      <c r="M26" s="4">
        <v>2249900</v>
      </c>
      <c r="N26" s="4">
        <v>2206000</v>
      </c>
      <c r="P26" s="4">
        <v>2249900</v>
      </c>
      <c r="Q26" s="4">
        <v>2170000</v>
      </c>
      <c r="R26" s="8">
        <f t="shared" si="36"/>
        <v>0</v>
      </c>
      <c r="S26" s="7">
        <f t="shared" si="36"/>
        <v>-1.6319129646418906E-2</v>
      </c>
      <c r="T26" s="126" t="s">
        <v>65</v>
      </c>
      <c r="V26" s="4"/>
      <c r="W26" s="4"/>
      <c r="X26" s="4"/>
      <c r="Y26" s="4">
        <f t="shared" si="37"/>
        <v>0</v>
      </c>
      <c r="AA26" s="4">
        <f t="shared" si="38"/>
        <v>184</v>
      </c>
      <c r="AB26" s="4"/>
      <c r="AC26" s="4">
        <f t="shared" si="39"/>
        <v>184</v>
      </c>
      <c r="AD26" s="4"/>
      <c r="AE26" s="35">
        <f t="shared" si="40"/>
        <v>184</v>
      </c>
    </row>
    <row r="27" spans="1:31" ht="15.75" thickBot="1" x14ac:dyDescent="0.3">
      <c r="A27" s="233"/>
      <c r="B27" s="131" t="s">
        <v>61</v>
      </c>
      <c r="C27" s="15"/>
      <c r="D27" s="44"/>
      <c r="E27" s="44">
        <v>12</v>
      </c>
      <c r="F27" s="44">
        <v>5</v>
      </c>
      <c r="G27" s="44"/>
      <c r="I27" s="44">
        <f t="shared" si="34"/>
        <v>17</v>
      </c>
      <c r="J27" s="44"/>
      <c r="K27" s="44">
        <f t="shared" si="35"/>
        <v>17</v>
      </c>
      <c r="M27" s="32"/>
      <c r="N27" s="32"/>
      <c r="P27" s="32"/>
      <c r="Q27" s="32"/>
      <c r="R27" s="87"/>
      <c r="S27" s="88"/>
      <c r="T27" s="124"/>
      <c r="V27" s="35"/>
      <c r="W27" s="35"/>
      <c r="X27" s="35"/>
      <c r="Y27" s="35"/>
      <c r="AA27" s="35">
        <f t="shared" si="38"/>
        <v>17</v>
      </c>
      <c r="AB27" s="35"/>
      <c r="AC27" s="35">
        <f t="shared" si="39"/>
        <v>17</v>
      </c>
      <c r="AD27" s="71"/>
      <c r="AE27" s="71"/>
    </row>
    <row r="28" spans="1:31" ht="15.75" thickBot="1" x14ac:dyDescent="0.3">
      <c r="A28" s="27"/>
      <c r="B28" s="60" t="s">
        <v>28</v>
      </c>
      <c r="C28" s="28"/>
      <c r="D28" s="125">
        <f t="shared" ref="D28:G28" si="41">SUM(D24:D27)</f>
        <v>350</v>
      </c>
      <c r="E28" s="125">
        <f t="shared" si="41"/>
        <v>479</v>
      </c>
      <c r="F28" s="125">
        <f t="shared" si="41"/>
        <v>225</v>
      </c>
      <c r="G28" s="130">
        <f t="shared" si="41"/>
        <v>19</v>
      </c>
      <c r="H28" s="28"/>
      <c r="I28" s="125">
        <f>SUM(I24:I27)</f>
        <v>723</v>
      </c>
      <c r="J28" s="125">
        <f>SUM(J24:J27)</f>
        <v>0</v>
      </c>
      <c r="K28" s="129">
        <f>SUM(K24:K27)</f>
        <v>723</v>
      </c>
      <c r="L28" s="28"/>
      <c r="M28" s="28"/>
      <c r="N28" s="28"/>
      <c r="O28" s="28"/>
      <c r="P28" s="28"/>
      <c r="Q28" s="28"/>
      <c r="R28" s="28"/>
      <c r="U28" s="28"/>
      <c r="V28" s="36">
        <f>SUM(V24:V26)</f>
        <v>0</v>
      </c>
      <c r="W28" s="36">
        <f>SUM(W24:W26)</f>
        <v>0</v>
      </c>
      <c r="X28" s="36">
        <f>SUM(X24:X26)</f>
        <v>70</v>
      </c>
      <c r="Y28" s="70">
        <f>SUM(Y24:Y26)</f>
        <v>70</v>
      </c>
      <c r="AA28" s="70">
        <f>SUM(AA24:AA27)</f>
        <v>793</v>
      </c>
      <c r="AB28" s="36">
        <f>SUM(AB24:AB26)</f>
        <v>0</v>
      </c>
      <c r="AC28" s="128">
        <f>SUM(AC24:AC27)</f>
        <v>793</v>
      </c>
      <c r="AD28" s="47">
        <f>SUM(AD24:AD26)</f>
        <v>0</v>
      </c>
      <c r="AE28" s="37">
        <f>SUM(AE24:AE26)</f>
        <v>776</v>
      </c>
    </row>
    <row r="29" spans="1:31" s="140" customFormat="1" ht="15.75" thickBot="1" x14ac:dyDescent="0.3">
      <c r="A29" s="133"/>
      <c r="B29" s="134"/>
      <c r="C29" s="135"/>
      <c r="D29" s="136"/>
      <c r="E29" s="136"/>
      <c r="F29" s="136"/>
      <c r="G29" s="136"/>
      <c r="H29" s="83"/>
      <c r="I29" s="136"/>
      <c r="J29" s="136"/>
      <c r="K29" s="136"/>
      <c r="L29" s="83"/>
      <c r="M29" s="137"/>
      <c r="N29" s="137"/>
      <c r="O29" s="138"/>
      <c r="P29" s="137"/>
      <c r="Q29" s="137"/>
      <c r="R29" s="137"/>
      <c r="S29" s="139"/>
      <c r="T29" s="139"/>
      <c r="U29" s="83"/>
      <c r="V29" s="136"/>
      <c r="W29" s="136"/>
      <c r="X29" s="136"/>
      <c r="Y29" s="136"/>
      <c r="AA29" s="136"/>
      <c r="AB29" s="136"/>
      <c r="AC29" s="141"/>
      <c r="AD29" s="141"/>
      <c r="AE29" s="136"/>
    </row>
    <row r="30" spans="1:31" ht="18.75" customHeight="1" x14ac:dyDescent="0.25">
      <c r="A30" s="224" t="s">
        <v>29</v>
      </c>
      <c r="B30" s="55" t="s">
        <v>30</v>
      </c>
      <c r="C30" s="15"/>
      <c r="D30" s="16">
        <v>1</v>
      </c>
      <c r="E30" s="16"/>
      <c r="F30" s="16">
        <v>14</v>
      </c>
      <c r="G30" s="16"/>
      <c r="I30" s="16">
        <f t="shared" ref="I30:I34" si="42">SUM(G30,F30,E30)</f>
        <v>14</v>
      </c>
      <c r="J30" s="16"/>
      <c r="K30" s="16">
        <f t="shared" ref="K30:K34" si="43">I30-J30</f>
        <v>14</v>
      </c>
      <c r="M30" s="17">
        <v>2679900</v>
      </c>
      <c r="N30" s="17">
        <v>2370800</v>
      </c>
      <c r="O30" s="22"/>
      <c r="P30" s="17">
        <v>2679900</v>
      </c>
      <c r="Q30" s="17">
        <v>2370800</v>
      </c>
      <c r="R30" s="7">
        <f>P30/M30-1</f>
        <v>0</v>
      </c>
      <c r="S30" s="7">
        <f>Q30/N30-1</f>
        <v>0</v>
      </c>
      <c r="T30" s="220" t="s">
        <v>64</v>
      </c>
      <c r="V30" s="4"/>
      <c r="W30" s="4"/>
      <c r="X30" s="4"/>
      <c r="Y30" s="4">
        <f t="shared" ref="Y30:Y34" si="44">SUM(V30:X30)</f>
        <v>0</v>
      </c>
      <c r="AA30" s="4">
        <f t="shared" ref="AA30:AA34" si="45">Y30+K30</f>
        <v>14</v>
      </c>
      <c r="AB30" s="4"/>
      <c r="AC30" s="4">
        <f t="shared" ref="AC30:AC34" si="46">AA30-AB30</f>
        <v>14</v>
      </c>
      <c r="AD30" s="4"/>
      <c r="AE30" s="4">
        <f t="shared" ref="AE30:AE34" si="47">AD30+AC30</f>
        <v>14</v>
      </c>
    </row>
    <row r="31" spans="1:31" ht="18.75" customHeight="1" thickBot="1" x14ac:dyDescent="0.3">
      <c r="A31" s="212"/>
      <c r="B31" s="55" t="s">
        <v>31</v>
      </c>
      <c r="C31" s="15"/>
      <c r="D31" s="16"/>
      <c r="E31" s="16"/>
      <c r="F31" s="16"/>
      <c r="G31" s="16"/>
      <c r="I31" s="16">
        <f t="shared" si="42"/>
        <v>0</v>
      </c>
      <c r="J31" s="16"/>
      <c r="K31" s="16">
        <f t="shared" si="43"/>
        <v>0</v>
      </c>
      <c r="M31" s="17">
        <v>2739900</v>
      </c>
      <c r="N31" s="17">
        <v>2423900</v>
      </c>
      <c r="O31" s="22"/>
      <c r="P31" s="17">
        <v>2739900</v>
      </c>
      <c r="Q31" s="17">
        <v>2423900</v>
      </c>
      <c r="R31" s="7">
        <f>P31/M31-1</f>
        <v>0</v>
      </c>
      <c r="S31" s="7">
        <f>Q31/N31-1</f>
        <v>0</v>
      </c>
      <c r="T31" s="217"/>
      <c r="V31" s="4"/>
      <c r="W31" s="4"/>
      <c r="X31" s="4"/>
      <c r="Y31" s="4">
        <f t="shared" si="44"/>
        <v>0</v>
      </c>
      <c r="AA31" s="4">
        <f t="shared" si="45"/>
        <v>0</v>
      </c>
      <c r="AB31" s="4"/>
      <c r="AC31" s="4">
        <f t="shared" si="46"/>
        <v>0</v>
      </c>
      <c r="AD31" s="4"/>
      <c r="AE31" s="4">
        <f t="shared" si="47"/>
        <v>0</v>
      </c>
    </row>
    <row r="32" spans="1:31" ht="18.75" customHeight="1" x14ac:dyDescent="0.25">
      <c r="A32" s="212"/>
      <c r="B32" s="111" t="s">
        <v>51</v>
      </c>
      <c r="C32" s="112"/>
      <c r="D32" s="113">
        <v>69</v>
      </c>
      <c r="E32" s="113">
        <v>3</v>
      </c>
      <c r="F32" s="113">
        <v>66</v>
      </c>
      <c r="G32" s="113">
        <v>1</v>
      </c>
      <c r="I32" s="113">
        <f t="shared" si="42"/>
        <v>70</v>
      </c>
      <c r="J32" s="113"/>
      <c r="K32" s="113">
        <f t="shared" si="43"/>
        <v>70</v>
      </c>
      <c r="M32" s="115"/>
      <c r="N32" s="115"/>
      <c r="O32" s="114"/>
      <c r="P32" s="115"/>
      <c r="Q32" s="115"/>
      <c r="R32" s="116"/>
      <c r="S32" s="116"/>
      <c r="T32" s="117"/>
      <c r="V32" s="118"/>
      <c r="W32" s="118"/>
      <c r="X32" s="118">
        <v>1</v>
      </c>
      <c r="Y32" s="118">
        <f t="shared" si="44"/>
        <v>1</v>
      </c>
      <c r="AA32" s="118">
        <f t="shared" si="45"/>
        <v>71</v>
      </c>
      <c r="AB32" s="118"/>
      <c r="AC32" s="118">
        <f t="shared" si="46"/>
        <v>71</v>
      </c>
      <c r="AD32" s="118"/>
      <c r="AE32" s="118">
        <f t="shared" si="47"/>
        <v>71</v>
      </c>
    </row>
    <row r="33" spans="1:31" ht="18.75" customHeight="1" x14ac:dyDescent="0.25">
      <c r="A33" s="212"/>
      <c r="B33" s="111" t="s">
        <v>52</v>
      </c>
      <c r="C33" s="112"/>
      <c r="D33" s="113">
        <v>323</v>
      </c>
      <c r="E33" s="113">
        <v>45</v>
      </c>
      <c r="F33" s="113">
        <v>278</v>
      </c>
      <c r="G33" s="113">
        <v>45</v>
      </c>
      <c r="I33" s="113">
        <f t="shared" si="42"/>
        <v>368</v>
      </c>
      <c r="J33" s="113"/>
      <c r="K33" s="113">
        <f t="shared" si="43"/>
        <v>368</v>
      </c>
      <c r="M33" s="115"/>
      <c r="N33" s="115"/>
      <c r="O33" s="114"/>
      <c r="P33" s="115"/>
      <c r="Q33" s="115"/>
      <c r="R33" s="116"/>
      <c r="S33" s="116"/>
      <c r="T33" s="117"/>
      <c r="V33" s="118"/>
      <c r="W33" s="118"/>
      <c r="X33" s="118">
        <v>131</v>
      </c>
      <c r="Y33" s="118">
        <f t="shared" si="44"/>
        <v>131</v>
      </c>
      <c r="AA33" s="118">
        <f t="shared" si="45"/>
        <v>499</v>
      </c>
      <c r="AB33" s="118"/>
      <c r="AC33" s="118">
        <f t="shared" si="46"/>
        <v>499</v>
      </c>
      <c r="AD33" s="118"/>
      <c r="AE33" s="118">
        <f t="shared" si="47"/>
        <v>499</v>
      </c>
    </row>
    <row r="34" spans="1:31" ht="15.75" thickBot="1" x14ac:dyDescent="0.3">
      <c r="A34" s="213"/>
      <c r="B34" s="56" t="s">
        <v>8</v>
      </c>
      <c r="C34" s="51"/>
      <c r="D34" s="44"/>
      <c r="E34" s="44">
        <v>30</v>
      </c>
      <c r="F34" s="44"/>
      <c r="G34" s="44"/>
      <c r="I34" s="44">
        <f t="shared" si="42"/>
        <v>30</v>
      </c>
      <c r="J34" s="44"/>
      <c r="K34" s="44">
        <f t="shared" si="43"/>
        <v>30</v>
      </c>
      <c r="M34" s="11"/>
      <c r="N34" s="11"/>
      <c r="O34" s="10"/>
      <c r="P34" s="11"/>
      <c r="Q34" s="11"/>
      <c r="R34" s="18"/>
      <c r="S34" s="18"/>
      <c r="T34" s="18"/>
      <c r="V34" s="35"/>
      <c r="W34" s="35"/>
      <c r="X34" s="35"/>
      <c r="Y34" s="35">
        <f t="shared" si="44"/>
        <v>0</v>
      </c>
      <c r="AA34" s="35">
        <f t="shared" si="45"/>
        <v>30</v>
      </c>
      <c r="AB34" s="44"/>
      <c r="AC34" s="44">
        <f t="shared" si="46"/>
        <v>30</v>
      </c>
      <c r="AD34" s="44"/>
      <c r="AE34" s="35">
        <f t="shared" si="47"/>
        <v>30</v>
      </c>
    </row>
    <row r="35" spans="1:31" ht="15.75" thickBot="1" x14ac:dyDescent="0.3">
      <c r="A35" s="9"/>
      <c r="B35" s="57" t="s">
        <v>32</v>
      </c>
      <c r="C35" s="29"/>
      <c r="D35" s="36">
        <f t="shared" ref="D35:K35" si="48">SUM(D30:D34)</f>
        <v>393</v>
      </c>
      <c r="E35" s="36">
        <f t="shared" si="48"/>
        <v>78</v>
      </c>
      <c r="F35" s="36">
        <f t="shared" si="48"/>
        <v>358</v>
      </c>
      <c r="G35" s="70">
        <f t="shared" si="48"/>
        <v>46</v>
      </c>
      <c r="H35" s="10"/>
      <c r="I35" s="70">
        <f t="shared" ref="I35" si="49">SUM(I30:I34)</f>
        <v>482</v>
      </c>
      <c r="J35" s="70">
        <f t="shared" si="48"/>
        <v>0</v>
      </c>
      <c r="K35" s="70">
        <f t="shared" si="48"/>
        <v>482</v>
      </c>
      <c r="L35" s="10"/>
      <c r="M35" s="26"/>
      <c r="N35" s="26"/>
      <c r="O35" s="22"/>
      <c r="P35" s="26"/>
      <c r="Q35" s="26"/>
      <c r="R35" s="25"/>
      <c r="S35" s="25"/>
      <c r="T35" s="25"/>
      <c r="U35" s="10"/>
      <c r="V35" s="70">
        <f t="shared" ref="V35:X35" si="50">SUM(V30:V34)</f>
        <v>0</v>
      </c>
      <c r="W35" s="70">
        <f t="shared" si="50"/>
        <v>0</v>
      </c>
      <c r="X35" s="70">
        <f t="shared" si="50"/>
        <v>132</v>
      </c>
      <c r="Y35" s="70">
        <f>SUM(Y30:Y34)</f>
        <v>132</v>
      </c>
      <c r="AA35" s="36">
        <f>SUM(AA30:AA34)</f>
        <v>614</v>
      </c>
      <c r="AB35" s="36">
        <f>SUM(AB30:AB34)</f>
        <v>0</v>
      </c>
      <c r="AC35" s="36">
        <f>SUM(AC30:AC34)</f>
        <v>614</v>
      </c>
      <c r="AD35" s="36">
        <f t="shared" ref="AD35:AE35" si="51">SUM(AD30:AD34)</f>
        <v>0</v>
      </c>
      <c r="AE35" s="70">
        <f t="shared" si="51"/>
        <v>614</v>
      </c>
    </row>
    <row r="36" spans="1:31" s="140" customFormat="1" ht="15.75" thickBot="1" x14ac:dyDescent="0.3">
      <c r="A36" s="133"/>
      <c r="B36" s="134"/>
      <c r="C36" s="135"/>
      <c r="D36" s="136"/>
      <c r="E36" s="136"/>
      <c r="F36" s="136"/>
      <c r="G36" s="136"/>
      <c r="H36" s="83"/>
      <c r="I36" s="136"/>
      <c r="J36" s="136"/>
      <c r="K36" s="136"/>
      <c r="L36" s="83"/>
      <c r="M36" s="142"/>
      <c r="N36" s="142"/>
      <c r="O36" s="142"/>
      <c r="P36" s="142"/>
      <c r="Q36" s="142"/>
      <c r="R36" s="142"/>
      <c r="S36" s="142"/>
      <c r="T36" s="142"/>
      <c r="U36" s="83"/>
      <c r="V36" s="136"/>
      <c r="W36" s="136"/>
      <c r="X36" s="136"/>
      <c r="Y36" s="136"/>
      <c r="AA36" s="136"/>
      <c r="AB36" s="136"/>
      <c r="AC36" s="141"/>
      <c r="AD36" s="141"/>
      <c r="AE36" s="136"/>
    </row>
    <row r="37" spans="1:31" ht="14.45" customHeight="1" x14ac:dyDescent="0.25">
      <c r="A37" s="224" t="s">
        <v>33</v>
      </c>
      <c r="B37" s="55" t="s">
        <v>34</v>
      </c>
      <c r="C37" s="15"/>
      <c r="D37" s="16">
        <v>19</v>
      </c>
      <c r="E37" s="16">
        <v>89</v>
      </c>
      <c r="F37" s="16">
        <v>15</v>
      </c>
      <c r="G37" s="16">
        <v>10</v>
      </c>
      <c r="I37" s="16">
        <f t="shared" ref="I37:I42" si="52">SUM(G37,F37,E37)</f>
        <v>114</v>
      </c>
      <c r="J37" s="16"/>
      <c r="K37" s="16">
        <f t="shared" ref="K37:K41" si="53">I37-J37</f>
        <v>114</v>
      </c>
      <c r="M37" s="4">
        <v>1544900</v>
      </c>
      <c r="N37" s="4">
        <v>1544900</v>
      </c>
      <c r="P37" s="4">
        <v>1544900</v>
      </c>
      <c r="Q37" s="4">
        <v>1544900</v>
      </c>
      <c r="R37" s="8">
        <f t="shared" ref="R37:S40" si="54">P37/M37-1</f>
        <v>0</v>
      </c>
      <c r="S37" s="7">
        <f t="shared" si="54"/>
        <v>0</v>
      </c>
      <c r="T37" s="220" t="s">
        <v>63</v>
      </c>
      <c r="V37" s="4"/>
      <c r="W37" s="4"/>
      <c r="X37" s="4"/>
      <c r="Y37" s="4">
        <f t="shared" ref="Y37:Y42" si="55">SUM(V37:X37)</f>
        <v>0</v>
      </c>
      <c r="AA37" s="4">
        <f t="shared" ref="AA37:AA42" si="56">Y37+K37</f>
        <v>114</v>
      </c>
      <c r="AB37" s="4"/>
      <c r="AC37" s="4">
        <f t="shared" ref="AC37:AC42" si="57">AA37-AB37</f>
        <v>114</v>
      </c>
      <c r="AD37" s="4"/>
      <c r="AE37" s="4">
        <f t="shared" ref="AE37:AE42" si="58">AD37+AC37</f>
        <v>114</v>
      </c>
    </row>
    <row r="38" spans="1:31" x14ac:dyDescent="0.25">
      <c r="A38" s="212"/>
      <c r="B38" s="55" t="s">
        <v>35</v>
      </c>
      <c r="C38" s="15"/>
      <c r="D38" s="16">
        <v>3</v>
      </c>
      <c r="E38" s="16">
        <v>1</v>
      </c>
      <c r="F38" s="16">
        <v>2</v>
      </c>
      <c r="G38" s="16"/>
      <c r="I38" s="16">
        <f t="shared" si="52"/>
        <v>3</v>
      </c>
      <c r="J38" s="16"/>
      <c r="K38" s="16">
        <f t="shared" si="53"/>
        <v>3</v>
      </c>
      <c r="M38" s="4">
        <v>1646900</v>
      </c>
      <c r="N38" s="4">
        <v>1646900</v>
      </c>
      <c r="P38" s="4">
        <v>1646900</v>
      </c>
      <c r="Q38" s="4">
        <v>1646900</v>
      </c>
      <c r="R38" s="8">
        <f t="shared" si="54"/>
        <v>0</v>
      </c>
      <c r="S38" s="7">
        <f t="shared" si="54"/>
        <v>0</v>
      </c>
      <c r="T38" s="216"/>
      <c r="V38" s="4"/>
      <c r="W38" s="4"/>
      <c r="X38" s="4"/>
      <c r="Y38" s="4">
        <f t="shared" si="55"/>
        <v>0</v>
      </c>
      <c r="AA38" s="46">
        <f t="shared" si="56"/>
        <v>3</v>
      </c>
      <c r="AB38" s="4"/>
      <c r="AC38" s="4">
        <f t="shared" si="57"/>
        <v>3</v>
      </c>
      <c r="AD38" s="4"/>
      <c r="AE38" s="46">
        <f t="shared" si="58"/>
        <v>3</v>
      </c>
    </row>
    <row r="39" spans="1:31" x14ac:dyDescent="0.25">
      <c r="A39" s="212"/>
      <c r="B39" s="55" t="s">
        <v>36</v>
      </c>
      <c r="C39" s="15"/>
      <c r="D39" s="16"/>
      <c r="E39" s="16"/>
      <c r="F39" s="16"/>
      <c r="G39" s="33"/>
      <c r="I39" s="33">
        <f t="shared" si="52"/>
        <v>0</v>
      </c>
      <c r="J39" s="33"/>
      <c r="K39" s="33">
        <f t="shared" si="53"/>
        <v>0</v>
      </c>
      <c r="M39" s="4">
        <v>1732900</v>
      </c>
      <c r="N39" s="4">
        <v>1732900</v>
      </c>
      <c r="P39" s="4">
        <v>1732900</v>
      </c>
      <c r="Q39" s="4">
        <v>1732900</v>
      </c>
      <c r="R39" s="8">
        <f t="shared" si="54"/>
        <v>0</v>
      </c>
      <c r="S39" s="7">
        <f t="shared" si="54"/>
        <v>0</v>
      </c>
      <c r="T39" s="216"/>
      <c r="V39" s="4"/>
      <c r="W39" s="4"/>
      <c r="X39" s="4"/>
      <c r="Y39" s="4">
        <f t="shared" si="55"/>
        <v>0</v>
      </c>
      <c r="AA39" s="46">
        <f t="shared" si="56"/>
        <v>0</v>
      </c>
      <c r="AB39" s="4"/>
      <c r="AC39" s="4">
        <f t="shared" si="57"/>
        <v>0</v>
      </c>
      <c r="AD39" s="4"/>
      <c r="AE39" s="46">
        <f t="shared" si="58"/>
        <v>0</v>
      </c>
    </row>
    <row r="40" spans="1:31" ht="15.75" thickBot="1" x14ac:dyDescent="0.3">
      <c r="A40" s="212"/>
      <c r="B40" s="55" t="s">
        <v>37</v>
      </c>
      <c r="C40" s="15"/>
      <c r="D40" s="16">
        <v>6</v>
      </c>
      <c r="E40" s="16">
        <v>10</v>
      </c>
      <c r="F40" s="16">
        <v>27</v>
      </c>
      <c r="G40" s="16">
        <v>6</v>
      </c>
      <c r="I40" s="16">
        <f t="shared" si="52"/>
        <v>43</v>
      </c>
      <c r="J40" s="16"/>
      <c r="K40" s="16">
        <f t="shared" si="53"/>
        <v>43</v>
      </c>
      <c r="M40" s="4">
        <v>1834900</v>
      </c>
      <c r="N40" s="4">
        <v>1834900</v>
      </c>
      <c r="P40" s="4">
        <v>1834900</v>
      </c>
      <c r="Q40" s="4">
        <v>1834900</v>
      </c>
      <c r="R40" s="8">
        <f t="shared" si="54"/>
        <v>0</v>
      </c>
      <c r="S40" s="7">
        <f t="shared" si="54"/>
        <v>0</v>
      </c>
      <c r="T40" s="217"/>
      <c r="V40" s="4"/>
      <c r="W40" s="4"/>
      <c r="X40" s="4"/>
      <c r="Y40" s="4">
        <f t="shared" si="55"/>
        <v>0</v>
      </c>
      <c r="AA40" s="46">
        <f t="shared" si="56"/>
        <v>43</v>
      </c>
      <c r="AB40" s="4"/>
      <c r="AC40" s="4">
        <f t="shared" si="57"/>
        <v>43</v>
      </c>
      <c r="AD40" s="4"/>
      <c r="AE40" s="46">
        <f t="shared" si="58"/>
        <v>43</v>
      </c>
    </row>
    <row r="41" spans="1:31" x14ac:dyDescent="0.25">
      <c r="A41" s="212"/>
      <c r="B41" s="111" t="s">
        <v>53</v>
      </c>
      <c r="C41" s="112"/>
      <c r="D41" s="113">
        <v>231</v>
      </c>
      <c r="E41" s="113">
        <v>125</v>
      </c>
      <c r="F41" s="113">
        <v>106</v>
      </c>
      <c r="G41" s="113">
        <v>247</v>
      </c>
      <c r="I41" s="113">
        <f t="shared" si="52"/>
        <v>478</v>
      </c>
      <c r="J41" s="113"/>
      <c r="K41" s="113">
        <f t="shared" si="53"/>
        <v>478</v>
      </c>
      <c r="M41" s="115"/>
      <c r="N41" s="115"/>
      <c r="O41" s="114"/>
      <c r="P41" s="115"/>
      <c r="Q41" s="115"/>
      <c r="R41" s="116"/>
      <c r="S41" s="116"/>
      <c r="T41" s="117"/>
      <c r="V41" s="118"/>
      <c r="W41" s="118"/>
      <c r="X41" s="118">
        <v>207</v>
      </c>
      <c r="Y41" s="118">
        <f t="shared" si="55"/>
        <v>207</v>
      </c>
      <c r="Z41" s="4"/>
      <c r="AA41" s="118">
        <f t="shared" si="56"/>
        <v>685</v>
      </c>
      <c r="AB41" s="118"/>
      <c r="AC41" s="118">
        <f t="shared" si="57"/>
        <v>685</v>
      </c>
      <c r="AD41" s="118"/>
      <c r="AE41" s="118">
        <f t="shared" si="58"/>
        <v>685</v>
      </c>
    </row>
    <row r="42" spans="1:31" ht="15.75" thickBot="1" x14ac:dyDescent="0.3">
      <c r="A42" s="213"/>
      <c r="B42" s="56" t="s">
        <v>8</v>
      </c>
      <c r="C42" s="15"/>
      <c r="D42" s="44"/>
      <c r="E42" s="44">
        <v>1</v>
      </c>
      <c r="F42" s="44"/>
      <c r="G42" s="44"/>
      <c r="I42" s="44">
        <f t="shared" si="52"/>
        <v>1</v>
      </c>
      <c r="J42" s="44"/>
      <c r="K42" s="44">
        <f>I42-J42</f>
        <v>1</v>
      </c>
      <c r="M42" s="85"/>
      <c r="N42" s="11"/>
      <c r="O42" s="10"/>
      <c r="P42" s="85"/>
      <c r="Q42" s="11"/>
      <c r="R42" s="11"/>
      <c r="S42" s="11"/>
      <c r="T42" s="11"/>
      <c r="V42" s="35"/>
      <c r="W42" s="35"/>
      <c r="X42" s="35"/>
      <c r="Y42" s="35">
        <f t="shared" si="55"/>
        <v>0</v>
      </c>
      <c r="AA42" s="71">
        <f t="shared" si="56"/>
        <v>1</v>
      </c>
      <c r="AB42" s="35"/>
      <c r="AC42" s="35">
        <f t="shared" si="57"/>
        <v>1</v>
      </c>
      <c r="AD42" s="4"/>
      <c r="AE42" s="46">
        <f t="shared" si="58"/>
        <v>1</v>
      </c>
    </row>
    <row r="43" spans="1:31" ht="15.75" thickBot="1" x14ac:dyDescent="0.3">
      <c r="A43" s="9"/>
      <c r="B43" s="57" t="s">
        <v>38</v>
      </c>
      <c r="C43" s="29"/>
      <c r="D43" s="36">
        <f t="shared" ref="D43:G43" si="59">SUM(D37:D42)</f>
        <v>259</v>
      </c>
      <c r="E43" s="37">
        <f t="shared" si="59"/>
        <v>226</v>
      </c>
      <c r="F43" s="37">
        <f t="shared" si="59"/>
        <v>150</v>
      </c>
      <c r="G43" s="37">
        <f t="shared" si="59"/>
        <v>263</v>
      </c>
      <c r="H43" s="10"/>
      <c r="I43" s="37">
        <f>SUM(I37:I42)</f>
        <v>639</v>
      </c>
      <c r="J43" s="37">
        <f>SUM(J37:J42)</f>
        <v>0</v>
      </c>
      <c r="K43" s="37">
        <f>SUM(K37:K42)</f>
        <v>639</v>
      </c>
      <c r="L43" s="10"/>
      <c r="M43" s="26"/>
      <c r="N43" s="26"/>
      <c r="O43" s="22"/>
      <c r="P43" s="26"/>
      <c r="Q43" s="26"/>
      <c r="R43" s="25"/>
      <c r="S43" s="25"/>
      <c r="T43" s="25"/>
      <c r="U43" s="10"/>
      <c r="V43" s="36">
        <f>SUM(V37:V42)</f>
        <v>0</v>
      </c>
      <c r="W43" s="36">
        <f>SUM(W37:W42)</f>
        <v>0</v>
      </c>
      <c r="X43" s="36">
        <f>SUM(X37:X42)</f>
        <v>207</v>
      </c>
      <c r="Y43" s="70">
        <f>SUM(Y37:Y42)</f>
        <v>207</v>
      </c>
      <c r="AA43" s="36">
        <f>SUM(AA37:AA42)</f>
        <v>846</v>
      </c>
      <c r="AB43" s="36">
        <f>SUM(AB37:AB42)</f>
        <v>0</v>
      </c>
      <c r="AC43" s="128">
        <f>SUM(AC37:AC42)</f>
        <v>846</v>
      </c>
      <c r="AD43" s="47">
        <f>SUM(AD37:AD42)</f>
        <v>0</v>
      </c>
      <c r="AE43" s="37">
        <f>SUM(AE37:AE42)</f>
        <v>846</v>
      </c>
    </row>
    <row r="44" spans="1:31" x14ac:dyDescent="0.25">
      <c r="A44" s="19"/>
      <c r="B44" s="58"/>
      <c r="C44" s="20"/>
      <c r="D44" s="21"/>
      <c r="E44" s="21"/>
      <c r="F44" s="21"/>
      <c r="G44" s="21"/>
      <c r="I44" s="21"/>
      <c r="J44" s="21"/>
      <c r="K44" s="21"/>
      <c r="M44" s="23"/>
      <c r="N44" s="23"/>
      <c r="O44" s="23"/>
      <c r="P44" s="23"/>
      <c r="Q44" s="23"/>
      <c r="R44" s="23"/>
      <c r="S44" s="23"/>
      <c r="T44" s="23"/>
      <c r="V44" s="21"/>
      <c r="W44" s="21"/>
      <c r="X44" s="21"/>
      <c r="Y44" s="21"/>
      <c r="AA44" s="21"/>
      <c r="AB44" s="21"/>
      <c r="AC44" s="24"/>
      <c r="AD44" s="24"/>
      <c r="AE44" s="21"/>
    </row>
    <row r="45" spans="1:31" x14ac:dyDescent="0.25">
      <c r="A45" s="212" t="s">
        <v>39</v>
      </c>
      <c r="B45" s="55" t="s">
        <v>40</v>
      </c>
      <c r="C45" s="15"/>
      <c r="D45" s="16">
        <v>57</v>
      </c>
      <c r="E45" s="16">
        <v>84</v>
      </c>
      <c r="F45" s="16">
        <v>59</v>
      </c>
      <c r="G45" s="16"/>
      <c r="I45" s="16">
        <f t="shared" ref="I45:I49" si="60">SUM(G45,F45,E45)</f>
        <v>143</v>
      </c>
      <c r="J45" s="16"/>
      <c r="K45" s="16">
        <f t="shared" ref="K45:K49" si="61">I45-J45</f>
        <v>143</v>
      </c>
      <c r="M45" s="4">
        <v>2049899.5821692918</v>
      </c>
      <c r="N45" s="4">
        <v>1989900</v>
      </c>
      <c r="P45" s="4">
        <v>2049899.5821692918</v>
      </c>
      <c r="Q45" s="4">
        <v>1989900</v>
      </c>
      <c r="R45" s="8">
        <f t="shared" ref="R45:S48" si="62">P45/M45-1</f>
        <v>0</v>
      </c>
      <c r="S45" s="7">
        <f t="shared" si="62"/>
        <v>0</v>
      </c>
      <c r="T45" s="127"/>
      <c r="V45" s="4"/>
      <c r="W45" s="4"/>
      <c r="X45" s="4">
        <v>17</v>
      </c>
      <c r="Y45" s="4">
        <f t="shared" ref="Y45:Y49" si="63">SUM(V45:X45)</f>
        <v>17</v>
      </c>
      <c r="AA45" s="4">
        <f t="shared" ref="AA45:AA49" si="64">Y45+K45</f>
        <v>160</v>
      </c>
      <c r="AB45" s="4"/>
      <c r="AC45" s="4">
        <f t="shared" ref="AC45:AC49" si="65">AA45-AB45</f>
        <v>160</v>
      </c>
      <c r="AD45" s="4"/>
      <c r="AE45" s="4">
        <f t="shared" ref="AE45:AE49" si="66">AD45+AC45</f>
        <v>160</v>
      </c>
    </row>
    <row r="46" spans="1:31" x14ac:dyDescent="0.25">
      <c r="A46" s="212"/>
      <c r="B46" s="55" t="s">
        <v>41</v>
      </c>
      <c r="C46" s="15"/>
      <c r="D46" s="16">
        <v>4</v>
      </c>
      <c r="E46" s="16">
        <v>83</v>
      </c>
      <c r="F46" s="16">
        <v>76</v>
      </c>
      <c r="G46" s="16">
        <v>1</v>
      </c>
      <c r="I46" s="16">
        <f t="shared" si="60"/>
        <v>160</v>
      </c>
      <c r="J46" s="16"/>
      <c r="K46" s="16">
        <f t="shared" si="61"/>
        <v>160</v>
      </c>
      <c r="M46" s="4">
        <v>2299900.446595463</v>
      </c>
      <c r="N46" s="4">
        <v>2187600</v>
      </c>
      <c r="P46" s="4">
        <v>2299900.446595463</v>
      </c>
      <c r="Q46" s="4">
        <v>2250000</v>
      </c>
      <c r="R46" s="8">
        <f t="shared" si="62"/>
        <v>0</v>
      </c>
      <c r="S46" s="7">
        <f t="shared" si="62"/>
        <v>2.8524410312671389E-2</v>
      </c>
      <c r="T46" s="127"/>
      <c r="V46" s="4"/>
      <c r="W46" s="4"/>
      <c r="X46" s="4">
        <v>21</v>
      </c>
      <c r="Y46" s="4">
        <f t="shared" si="63"/>
        <v>21</v>
      </c>
      <c r="AA46" s="4">
        <f t="shared" si="64"/>
        <v>181</v>
      </c>
      <c r="AB46" s="4"/>
      <c r="AC46" s="4">
        <f t="shared" si="65"/>
        <v>181</v>
      </c>
      <c r="AD46" s="4"/>
      <c r="AE46" s="4">
        <f t="shared" si="66"/>
        <v>181</v>
      </c>
    </row>
    <row r="47" spans="1:31" x14ac:dyDescent="0.25">
      <c r="A47" s="212"/>
      <c r="B47" s="55" t="s">
        <v>42</v>
      </c>
      <c r="C47" s="15"/>
      <c r="D47" s="16">
        <v>583</v>
      </c>
      <c r="E47" s="16">
        <v>235</v>
      </c>
      <c r="F47" s="16">
        <v>559</v>
      </c>
      <c r="G47" s="16">
        <v>48</v>
      </c>
      <c r="I47" s="16">
        <f t="shared" si="60"/>
        <v>842</v>
      </c>
      <c r="J47" s="16"/>
      <c r="K47" s="16">
        <f t="shared" si="61"/>
        <v>842</v>
      </c>
      <c r="M47" s="17">
        <v>2649900.2262469754</v>
      </c>
      <c r="N47" s="17">
        <v>2494500</v>
      </c>
      <c r="P47" s="17">
        <v>2649900.2262469754</v>
      </c>
      <c r="Q47" s="17">
        <v>2546300</v>
      </c>
      <c r="R47" s="8">
        <f t="shared" si="62"/>
        <v>0</v>
      </c>
      <c r="S47" s="7">
        <f t="shared" si="62"/>
        <v>2.0765684505912985E-2</v>
      </c>
      <c r="T47" s="127"/>
      <c r="V47" s="4"/>
      <c r="W47" s="4"/>
      <c r="X47" s="4">
        <v>83</v>
      </c>
      <c r="Y47" s="4">
        <f>SUM(V47:X47)</f>
        <v>83</v>
      </c>
      <c r="AA47" s="4">
        <f>Y47+K47</f>
        <v>925</v>
      </c>
      <c r="AB47" s="4"/>
      <c r="AC47" s="4">
        <f t="shared" si="65"/>
        <v>925</v>
      </c>
      <c r="AD47" s="4"/>
      <c r="AE47" s="4">
        <f t="shared" si="66"/>
        <v>925</v>
      </c>
    </row>
    <row r="48" spans="1:31" x14ac:dyDescent="0.25">
      <c r="A48" s="212"/>
      <c r="B48" s="56" t="s">
        <v>43</v>
      </c>
      <c r="C48" s="15"/>
      <c r="D48" s="44">
        <v>24</v>
      </c>
      <c r="E48" s="44">
        <v>40</v>
      </c>
      <c r="F48" s="16">
        <v>33</v>
      </c>
      <c r="G48" s="16">
        <v>7</v>
      </c>
      <c r="I48" s="16">
        <f t="shared" si="60"/>
        <v>80</v>
      </c>
      <c r="J48" s="16"/>
      <c r="K48" s="16">
        <f t="shared" si="61"/>
        <v>80</v>
      </c>
      <c r="M48" s="4">
        <v>2949900.260173202</v>
      </c>
      <c r="N48" s="4">
        <v>2805700</v>
      </c>
      <c r="P48" s="4">
        <v>2949900.260173202</v>
      </c>
      <c r="Q48" s="4">
        <v>2892300</v>
      </c>
      <c r="R48" s="8">
        <f t="shared" si="62"/>
        <v>0</v>
      </c>
      <c r="S48" s="7">
        <f t="shared" si="62"/>
        <v>3.0865737605588528E-2</v>
      </c>
      <c r="T48" s="88"/>
      <c r="V48" s="4"/>
      <c r="W48" s="4"/>
      <c r="X48" s="4">
        <v>34</v>
      </c>
      <c r="Y48" s="4">
        <f t="shared" si="63"/>
        <v>34</v>
      </c>
      <c r="AA48" s="4">
        <f t="shared" si="64"/>
        <v>114</v>
      </c>
      <c r="AB48" s="4"/>
      <c r="AC48" s="4">
        <f t="shared" si="65"/>
        <v>114</v>
      </c>
      <c r="AD48" s="4"/>
      <c r="AE48" s="4">
        <f t="shared" si="66"/>
        <v>114</v>
      </c>
    </row>
    <row r="49" spans="1:31" ht="15.75" thickBot="1" x14ac:dyDescent="0.3">
      <c r="A49" s="213"/>
      <c r="B49" s="56" t="s">
        <v>8</v>
      </c>
      <c r="D49" s="45">
        <v>39</v>
      </c>
      <c r="E49" s="45">
        <v>15</v>
      </c>
      <c r="F49" s="45">
        <v>65</v>
      </c>
      <c r="G49" s="45">
        <v>53</v>
      </c>
      <c r="I49" s="45">
        <f t="shared" si="60"/>
        <v>133</v>
      </c>
      <c r="J49" s="45"/>
      <c r="K49" s="45">
        <f t="shared" si="61"/>
        <v>133</v>
      </c>
      <c r="V49" s="35"/>
      <c r="W49" s="35"/>
      <c r="X49" s="35">
        <v>95</v>
      </c>
      <c r="Y49" s="35">
        <f t="shared" si="63"/>
        <v>95</v>
      </c>
      <c r="AA49" s="35">
        <f t="shared" si="64"/>
        <v>228</v>
      </c>
      <c r="AB49" s="35"/>
      <c r="AC49" s="35">
        <f t="shared" si="65"/>
        <v>228</v>
      </c>
      <c r="AD49" s="35"/>
      <c r="AE49" s="35">
        <f t="shared" si="66"/>
        <v>228</v>
      </c>
    </row>
    <row r="50" spans="1:31" ht="15.75" thickBot="1" x14ac:dyDescent="0.3">
      <c r="A50" s="9"/>
      <c r="B50" s="57" t="s">
        <v>44</v>
      </c>
      <c r="C50" s="18"/>
      <c r="D50" s="48">
        <f t="shared" ref="D50:G50" si="67">SUM(D45:D49)</f>
        <v>707</v>
      </c>
      <c r="E50" s="49">
        <f t="shared" si="67"/>
        <v>457</v>
      </c>
      <c r="F50" s="37">
        <f t="shared" si="67"/>
        <v>792</v>
      </c>
      <c r="G50" s="37">
        <f t="shared" si="67"/>
        <v>109</v>
      </c>
      <c r="H50" s="10"/>
      <c r="I50" s="37">
        <f>SUM(I45:I49)</f>
        <v>1358</v>
      </c>
      <c r="J50" s="37">
        <f>SUM(J45:J49)</f>
        <v>0</v>
      </c>
      <c r="K50" s="37">
        <f>SUM(K45:K49)</f>
        <v>1358</v>
      </c>
      <c r="L50" s="10"/>
      <c r="U50" s="10"/>
      <c r="V50" s="36">
        <f>SUM(V45:V49)</f>
        <v>0</v>
      </c>
      <c r="W50" s="36">
        <f>SUM(W45:W49)</f>
        <v>0</v>
      </c>
      <c r="X50" s="36">
        <f>SUM(X45:X49)</f>
        <v>250</v>
      </c>
      <c r="Y50" s="70">
        <f>SUM(Y45:Y49)</f>
        <v>250</v>
      </c>
      <c r="AA50" s="36">
        <f>SUM(AA45:AA49)</f>
        <v>1608</v>
      </c>
      <c r="AB50" s="36">
        <f>SUM(AB45:AB49)</f>
        <v>0</v>
      </c>
      <c r="AC50" s="37">
        <f>SUM(AC45:AC49)</f>
        <v>1608</v>
      </c>
      <c r="AD50" s="37">
        <f>SUM(AD45:AD49)</f>
        <v>0</v>
      </c>
      <c r="AE50" s="37">
        <f>SUM(AE45:AE49)</f>
        <v>1608</v>
      </c>
    </row>
    <row r="51" spans="1:31" ht="15.75" customHeight="1" thickBot="1" x14ac:dyDescent="0.3">
      <c r="A51" s="9"/>
      <c r="B51" s="61" t="s">
        <v>45</v>
      </c>
      <c r="C51" s="18"/>
      <c r="D51" s="38">
        <f t="shared" ref="D51:G51" si="68">D8+D15+D22+D28+D35+D43+D50</f>
        <v>2638</v>
      </c>
      <c r="E51" s="39">
        <f t="shared" si="68"/>
        <v>1816</v>
      </c>
      <c r="F51" s="39">
        <f t="shared" si="68"/>
        <v>1982</v>
      </c>
      <c r="G51" s="39">
        <f t="shared" si="68"/>
        <v>545</v>
      </c>
      <c r="H51" s="10"/>
      <c r="I51" s="39">
        <f>I8+I15+I22+I28+I35+I43+I50</f>
        <v>4343</v>
      </c>
      <c r="J51" s="39">
        <f>J8+J15+J22+J28+J35+J43+J50</f>
        <v>0</v>
      </c>
      <c r="K51" s="39">
        <f>K8+K15+K22+K28+K35+K43+K50</f>
        <v>4343</v>
      </c>
      <c r="L51" s="10"/>
      <c r="U51" s="10"/>
      <c r="V51" s="38">
        <f>V8+V15+V22+V28+V35+V43+V50</f>
        <v>0</v>
      </c>
      <c r="W51" s="38">
        <f>W8+W15+W22+W28+W35+W43+W50</f>
        <v>0</v>
      </c>
      <c r="X51" s="38">
        <f>X8+X15+X22+X28+X35+X43+X50</f>
        <v>1300</v>
      </c>
      <c r="Y51" s="38">
        <f>Y8+Y15+Y22+Y28+Y35+Y43+Y50</f>
        <v>1300</v>
      </c>
      <c r="AA51" s="38">
        <f>AA8+AA15+AA22+AA28+AA35+AA43+AA50</f>
        <v>5643</v>
      </c>
      <c r="AB51" s="38">
        <f>AB8+AB15+AB22+AB28+AB35+AB43+AB50</f>
        <v>0</v>
      </c>
      <c r="AC51" s="62">
        <f>AC8+AC15+AC22+AC28+AC35+AC43+AC50</f>
        <v>5643</v>
      </c>
      <c r="AD51" s="62">
        <f>AD8+AD15+AD22+AD28+AD35+AD43+AD50</f>
        <v>0</v>
      </c>
      <c r="AE51" s="38">
        <f>AE8+AE15+AE22+AE28+AE35+AE43+AE50</f>
        <v>5626</v>
      </c>
    </row>
    <row r="52" spans="1:31" ht="15.75" customHeight="1" x14ac:dyDescent="0.25">
      <c r="H52" s="10"/>
      <c r="L52" s="10"/>
      <c r="U52" s="10"/>
    </row>
    <row r="53" spans="1:31" x14ac:dyDescent="0.25"/>
    <row r="54" spans="1:31" x14ac:dyDescent="0.25"/>
    <row r="55" spans="1:31" x14ac:dyDescent="0.25"/>
    <row r="56" spans="1:31" x14ac:dyDescent="0.25"/>
    <row r="57" spans="1:31" x14ac:dyDescent="0.25"/>
    <row r="58" spans="1:31" x14ac:dyDescent="0.25"/>
    <row r="59" spans="1:31" x14ac:dyDescent="0.25"/>
    <row r="60" spans="1:31" x14ac:dyDescent="0.25"/>
    <row r="61" spans="1:31" x14ac:dyDescent="0.25"/>
  </sheetData>
  <mergeCells count="40">
    <mergeCell ref="A24:A27"/>
    <mergeCell ref="T24:T25"/>
    <mergeCell ref="A30:A34"/>
    <mergeCell ref="Q2:Q3"/>
    <mergeCell ref="A17:A21"/>
    <mergeCell ref="S2:S3"/>
    <mergeCell ref="M2:M3"/>
    <mergeCell ref="N2:N3"/>
    <mergeCell ref="P2:P3"/>
    <mergeCell ref="A45:A49"/>
    <mergeCell ref="T2:T3"/>
    <mergeCell ref="T5:T6"/>
    <mergeCell ref="AB2:AB3"/>
    <mergeCell ref="T30:T31"/>
    <mergeCell ref="T10:T13"/>
    <mergeCell ref="T17:T20"/>
    <mergeCell ref="J2:J3"/>
    <mergeCell ref="K2:K3"/>
    <mergeCell ref="I2:I3"/>
    <mergeCell ref="A37:A42"/>
    <mergeCell ref="AA2:AA3"/>
    <mergeCell ref="T37:T40"/>
    <mergeCell ref="R2:R3"/>
    <mergeCell ref="A4:A7"/>
    <mergeCell ref="A10:A14"/>
    <mergeCell ref="AE2:AE3"/>
    <mergeCell ref="AD2:AD3"/>
    <mergeCell ref="A1:B1"/>
    <mergeCell ref="D1:E1"/>
    <mergeCell ref="F1:G1"/>
    <mergeCell ref="A2:B3"/>
    <mergeCell ref="D2:D3"/>
    <mergeCell ref="E2:E3"/>
    <mergeCell ref="F2:F3"/>
    <mergeCell ref="G2:G3"/>
    <mergeCell ref="AC2:AC3"/>
    <mergeCell ref="Y2:Y3"/>
    <mergeCell ref="V2:V3"/>
    <mergeCell ref="X2:X3"/>
    <mergeCell ref="W2:W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30AD-942F-4344-BBD9-2F81C6770631}">
  <dimension ref="A1:Z111"/>
  <sheetViews>
    <sheetView showGridLines="0" tabSelected="1" zoomScaleNormal="100" workbookViewId="0">
      <selection activeCell="I6" sqref="I6"/>
    </sheetView>
  </sheetViews>
  <sheetFormatPr defaultRowHeight="15" x14ac:dyDescent="0.25"/>
  <cols>
    <col min="1" max="1" width="12.42578125" style="27" bestFit="1" customWidth="1"/>
    <col min="2" max="2" width="55.140625" style="13" bestFit="1" customWidth="1"/>
    <col min="3" max="3" width="1.7109375" customWidth="1"/>
    <col min="4" max="7" width="24.7109375" style="2" customWidth="1"/>
    <col min="8" max="8" width="1.7109375" style="1" customWidth="1"/>
    <col min="9" max="9" width="28.7109375" customWidth="1"/>
    <col min="10" max="12" width="24.7109375" style="2" customWidth="1"/>
    <col min="13" max="13" width="1.7109375" style="1" customWidth="1"/>
    <col min="14" max="16" width="24.7109375" style="2" hidden="1" customWidth="1"/>
    <col min="17" max="17" width="1.7109375" style="1" hidden="1" customWidth="1"/>
    <col min="18" max="24" width="24.7109375" style="2" hidden="1" customWidth="1"/>
    <col min="25" max="25" width="1.7109375" style="2" customWidth="1"/>
    <col min="26" max="26" width="1.7109375" style="14" customWidth="1"/>
  </cols>
  <sheetData>
    <row r="1" spans="1:26" s="170" customFormat="1" ht="31.35" customHeight="1" thickBot="1" x14ac:dyDescent="0.3">
      <c r="A1" s="240" t="s">
        <v>149</v>
      </c>
      <c r="B1" s="240"/>
      <c r="D1" s="177" t="s">
        <v>150</v>
      </c>
      <c r="E1" s="177" t="s">
        <v>151</v>
      </c>
      <c r="F1" s="178" t="s">
        <v>0</v>
      </c>
      <c r="G1" s="179" t="s">
        <v>1</v>
      </c>
      <c r="H1" s="171"/>
      <c r="I1" s="177" t="s">
        <v>155</v>
      </c>
      <c r="J1" s="172" t="s">
        <v>152</v>
      </c>
      <c r="K1" s="180" t="s">
        <v>153</v>
      </c>
      <c r="L1" s="181" t="s">
        <v>154</v>
      </c>
      <c r="M1" s="171"/>
      <c r="N1" s="182" t="str">
        <f>Perakende!M2</f>
        <v>3 Haziran 2024 LİSTE FİYATI</v>
      </c>
      <c r="O1" s="183" t="str">
        <f>Perakende!N2</f>
        <v>3 Haziran 2024 KAMPANYALI FİYAT</v>
      </c>
      <c r="P1" s="184" t="s">
        <v>47</v>
      </c>
      <c r="Q1" s="171"/>
      <c r="R1" s="182" t="str">
        <f>Perakende!P2</f>
        <v>1 Temmuz 2024 LİSTE FİYATI</v>
      </c>
      <c r="S1" s="183" t="str">
        <f>Perakende!Q2</f>
        <v>1 Temmuz 2024 KAMPANYALI FİYAT</v>
      </c>
      <c r="T1" s="183" t="e">
        <f>Perakende!#REF!</f>
        <v>#REF!</v>
      </c>
      <c r="U1" s="183" t="e">
        <f>Perakende!#REF!</f>
        <v>#REF!</v>
      </c>
      <c r="V1" s="185" t="s">
        <v>2</v>
      </c>
      <c r="W1" s="186" t="str">
        <f>Perakende!S2</f>
        <v>1 Temmuz 2024 KAMPANYALI FİYAT DEĞİŞİMİ</v>
      </c>
      <c r="X1" s="187" t="s">
        <v>3</v>
      </c>
      <c r="Y1" s="171"/>
    </row>
    <row r="2" spans="1:26" ht="15.6" customHeight="1" x14ac:dyDescent="0.25">
      <c r="A2" s="161"/>
      <c r="B2" s="52"/>
      <c r="C2" s="3"/>
      <c r="D2" s="46"/>
      <c r="E2" s="46"/>
      <c r="F2" s="46"/>
      <c r="G2" s="46"/>
      <c r="H2" s="5"/>
      <c r="I2" s="46"/>
      <c r="J2" s="46"/>
      <c r="K2" s="46"/>
      <c r="L2" s="46"/>
      <c r="M2" s="5"/>
      <c r="N2" s="46" t="e">
        <f>Perakende!M4+#REF!</f>
        <v>#REF!</v>
      </c>
      <c r="O2" s="46" t="e">
        <f>Perakende!N4+#REF!</f>
        <v>#REF!</v>
      </c>
      <c r="P2" s="46"/>
      <c r="Q2" s="5"/>
      <c r="R2" s="46"/>
      <c r="S2" s="46"/>
      <c r="T2" s="46"/>
      <c r="U2" s="46"/>
      <c r="V2" s="173" t="s">
        <v>16</v>
      </c>
      <c r="W2" s="174" t="s">
        <v>16</v>
      </c>
      <c r="X2" s="174"/>
      <c r="Y2" s="5"/>
      <c r="Z2"/>
    </row>
    <row r="3" spans="1:26" ht="15" customHeight="1" x14ac:dyDescent="0.25">
      <c r="A3" s="161"/>
      <c r="B3" s="52"/>
      <c r="C3" s="3"/>
      <c r="D3" s="46"/>
      <c r="E3" s="46"/>
      <c r="F3" s="46"/>
      <c r="G3" s="46"/>
      <c r="H3" s="5"/>
      <c r="I3" s="46"/>
      <c r="J3" s="46"/>
      <c r="K3" s="46"/>
      <c r="L3" s="46"/>
      <c r="M3" s="5"/>
      <c r="N3" s="46" t="e">
        <f>Perakende!M5+#REF!</f>
        <v>#REF!</v>
      </c>
      <c r="O3" s="46" t="e">
        <f>Perakende!N5+#REF!</f>
        <v>#REF!</v>
      </c>
      <c r="P3" s="46"/>
      <c r="Q3" s="5"/>
      <c r="R3" s="46"/>
      <c r="S3" s="46"/>
      <c r="T3" s="46"/>
      <c r="U3" s="46"/>
      <c r="V3" s="173" t="s">
        <v>16</v>
      </c>
      <c r="W3" s="174" t="s">
        <v>16</v>
      </c>
      <c r="X3" s="174"/>
      <c r="Y3" s="5"/>
      <c r="Z3"/>
    </row>
    <row r="4" spans="1:26" ht="15" customHeight="1" x14ac:dyDescent="0.25">
      <c r="A4" s="161"/>
      <c r="B4" s="52"/>
      <c r="C4" s="3"/>
      <c r="D4" s="46"/>
      <c r="E4" s="46"/>
      <c r="F4" s="46"/>
      <c r="G4" s="46"/>
      <c r="H4" s="5"/>
      <c r="I4" s="46"/>
      <c r="J4" s="46"/>
      <c r="K4" s="46"/>
      <c r="L4" s="46"/>
      <c r="M4" s="5"/>
      <c r="N4" s="46" t="e">
        <f>Perakende!M6+#REF!</f>
        <v>#REF!</v>
      </c>
      <c r="O4" s="46" t="e">
        <f>Perakende!N6+#REF!</f>
        <v>#REF!</v>
      </c>
      <c r="P4" s="46"/>
      <c r="Q4" s="5"/>
      <c r="R4" s="46"/>
      <c r="S4" s="46"/>
      <c r="T4" s="46"/>
      <c r="U4" s="46"/>
      <c r="V4" s="173" t="s">
        <v>16</v>
      </c>
      <c r="W4" s="174" t="s">
        <v>16</v>
      </c>
      <c r="X4" s="174"/>
      <c r="Y4" s="5"/>
      <c r="Z4"/>
    </row>
    <row r="5" spans="1:26" ht="15" customHeight="1" x14ac:dyDescent="0.25">
      <c r="A5" s="161"/>
      <c r="B5" s="52"/>
      <c r="C5" s="3"/>
      <c r="D5" s="46"/>
      <c r="E5" s="46"/>
      <c r="F5" s="46"/>
      <c r="G5" s="46"/>
      <c r="H5" s="5"/>
      <c r="I5" s="46"/>
      <c r="J5" s="46"/>
      <c r="K5" s="46"/>
      <c r="L5" s="46"/>
      <c r="M5" s="5"/>
      <c r="N5" s="46" t="e">
        <f>Perakende!M7+#REF!</f>
        <v>#REF!</v>
      </c>
      <c r="O5" s="46" t="e">
        <f>Perakende!N7+#REF!</f>
        <v>#REF!</v>
      </c>
      <c r="P5" s="46"/>
      <c r="Q5" s="5"/>
      <c r="R5" s="46"/>
      <c r="S5" s="46"/>
      <c r="T5" s="46"/>
      <c r="U5" s="46"/>
      <c r="V5" s="173" t="s">
        <v>16</v>
      </c>
      <c r="W5" s="174" t="s">
        <v>16</v>
      </c>
      <c r="X5" s="174"/>
      <c r="Y5" s="5"/>
      <c r="Z5"/>
    </row>
    <row r="6" spans="1:26" ht="15" customHeight="1" x14ac:dyDescent="0.25">
      <c r="A6" s="161"/>
      <c r="B6" s="52"/>
      <c r="C6" s="3"/>
      <c r="D6" s="46"/>
      <c r="E6" s="46"/>
      <c r="F6" s="46"/>
      <c r="G6" s="46"/>
      <c r="H6" s="5"/>
      <c r="I6" s="46"/>
      <c r="J6" s="46"/>
      <c r="K6" s="46"/>
      <c r="L6" s="46"/>
      <c r="M6" s="5"/>
      <c r="N6" s="46" t="e">
        <f>Perakende!M8+#REF!</f>
        <v>#REF!</v>
      </c>
      <c r="O6" s="46" t="e">
        <f>Perakende!N8+#REF!</f>
        <v>#REF!</v>
      </c>
      <c r="P6" s="46"/>
      <c r="Q6" s="5"/>
      <c r="R6" s="46"/>
      <c r="S6" s="46"/>
      <c r="T6" s="46"/>
      <c r="U6" s="46"/>
      <c r="V6" s="173" t="s">
        <v>16</v>
      </c>
      <c r="W6" s="174" t="s">
        <v>16</v>
      </c>
      <c r="X6" s="174"/>
      <c r="Y6" s="5"/>
      <c r="Z6"/>
    </row>
    <row r="7" spans="1:26" ht="15" customHeight="1" x14ac:dyDescent="0.25">
      <c r="A7" s="161"/>
      <c r="B7" s="52"/>
      <c r="C7" s="3"/>
      <c r="D7" s="46"/>
      <c r="E7" s="46"/>
      <c r="F7" s="46"/>
      <c r="G7" s="46"/>
      <c r="H7" s="5"/>
      <c r="I7" s="46"/>
      <c r="J7" s="46"/>
      <c r="K7" s="46"/>
      <c r="L7" s="46"/>
      <c r="M7" s="5"/>
      <c r="N7" s="46" t="e">
        <f>Perakende!M9+#REF!</f>
        <v>#REF!</v>
      </c>
      <c r="O7" s="46" t="e">
        <f>Perakende!N9+#REF!</f>
        <v>#REF!</v>
      </c>
      <c r="P7" s="46"/>
      <c r="Q7" s="5"/>
      <c r="R7" s="46"/>
      <c r="S7" s="46"/>
      <c r="T7" s="46"/>
      <c r="U7" s="46"/>
      <c r="V7" s="173" t="s">
        <v>16</v>
      </c>
      <c r="W7" s="174" t="s">
        <v>16</v>
      </c>
      <c r="X7" s="174"/>
      <c r="Y7" s="5"/>
      <c r="Z7"/>
    </row>
    <row r="8" spans="1:26" ht="15" customHeight="1" x14ac:dyDescent="0.25">
      <c r="A8" s="161"/>
      <c r="B8" s="52"/>
      <c r="C8" s="3"/>
      <c r="D8" s="46"/>
      <c r="E8" s="46"/>
      <c r="F8" s="46"/>
      <c r="G8" s="46"/>
      <c r="H8" s="5"/>
      <c r="I8" s="46"/>
      <c r="J8" s="46"/>
      <c r="K8" s="46"/>
      <c r="L8" s="46"/>
      <c r="M8" s="5"/>
      <c r="N8" s="46" t="e">
        <f>Perakende!M10+#REF!</f>
        <v>#REF!</v>
      </c>
      <c r="O8" s="46" t="e">
        <f>Perakende!N10+#REF!</f>
        <v>#REF!</v>
      </c>
      <c r="P8" s="46"/>
      <c r="Q8" s="5"/>
      <c r="R8" s="46"/>
      <c r="S8" s="46"/>
      <c r="T8" s="46"/>
      <c r="U8" s="46"/>
      <c r="V8" s="173" t="s">
        <v>16</v>
      </c>
      <c r="W8" s="174" t="s">
        <v>16</v>
      </c>
      <c r="X8" s="174"/>
      <c r="Y8" s="5"/>
      <c r="Z8"/>
    </row>
    <row r="9" spans="1:26" ht="15" customHeight="1" x14ac:dyDescent="0.25">
      <c r="A9" s="161"/>
      <c r="B9" s="52"/>
      <c r="C9" s="3"/>
      <c r="D9" s="46"/>
      <c r="E9" s="46"/>
      <c r="F9" s="46"/>
      <c r="G9" s="46"/>
      <c r="H9" s="5"/>
      <c r="I9" s="46"/>
      <c r="J9" s="46"/>
      <c r="K9" s="46"/>
      <c r="L9" s="46"/>
      <c r="M9" s="5"/>
      <c r="N9" s="46" t="e">
        <f>Perakende!M11+#REF!</f>
        <v>#REF!</v>
      </c>
      <c r="O9" s="46" t="e">
        <f>Perakende!N11+#REF!</f>
        <v>#REF!</v>
      </c>
      <c r="P9" s="46"/>
      <c r="Q9" s="5"/>
      <c r="R9" s="46"/>
      <c r="S9" s="46"/>
      <c r="T9" s="46"/>
      <c r="U9" s="46"/>
      <c r="V9" s="173" t="s">
        <v>16</v>
      </c>
      <c r="W9" s="174" t="s">
        <v>16</v>
      </c>
      <c r="X9" s="174"/>
      <c r="Y9" s="5"/>
      <c r="Z9"/>
    </row>
    <row r="10" spans="1:26" ht="15" customHeight="1" x14ac:dyDescent="0.25">
      <c r="A10" s="161"/>
      <c r="B10" s="52"/>
      <c r="C10" s="3"/>
      <c r="D10" s="46"/>
      <c r="E10" s="46"/>
      <c r="F10" s="46"/>
      <c r="G10" s="46"/>
      <c r="H10" s="5"/>
      <c r="I10" s="46"/>
      <c r="J10" s="46"/>
      <c r="K10" s="46"/>
      <c r="L10" s="46"/>
      <c r="M10" s="5"/>
      <c r="N10" s="46" t="e">
        <f>Perakende!M12+#REF!</f>
        <v>#REF!</v>
      </c>
      <c r="O10" s="46" t="e">
        <f>Perakende!N12+#REF!</f>
        <v>#REF!</v>
      </c>
      <c r="P10" s="46"/>
      <c r="Q10" s="5"/>
      <c r="R10" s="46"/>
      <c r="S10" s="46"/>
      <c r="T10" s="46"/>
      <c r="U10" s="46"/>
      <c r="V10" s="173" t="s">
        <v>16</v>
      </c>
      <c r="W10" s="174" t="s">
        <v>16</v>
      </c>
      <c r="X10" s="174"/>
      <c r="Y10" s="5"/>
      <c r="Z10"/>
    </row>
    <row r="11" spans="1:26" ht="15" customHeight="1" x14ac:dyDescent="0.25">
      <c r="A11" s="161"/>
      <c r="B11" s="52"/>
      <c r="C11" s="3"/>
      <c r="D11" s="46"/>
      <c r="E11" s="46"/>
      <c r="F11" s="46"/>
      <c r="G11" s="46"/>
      <c r="H11" s="5"/>
      <c r="I11" s="46"/>
      <c r="J11" s="46"/>
      <c r="K11" s="46"/>
      <c r="L11" s="46"/>
      <c r="M11" s="5"/>
      <c r="N11" s="46" t="e">
        <f>Perakende!M13+#REF!</f>
        <v>#REF!</v>
      </c>
      <c r="O11" s="46" t="e">
        <f>Perakende!N13+#REF!</f>
        <v>#REF!</v>
      </c>
      <c r="P11" s="46"/>
      <c r="Q11" s="5"/>
      <c r="R11" s="46"/>
      <c r="S11" s="46"/>
      <c r="T11" s="46"/>
      <c r="U11" s="46"/>
      <c r="V11" s="173" t="s">
        <v>16</v>
      </c>
      <c r="W11" s="174" t="s">
        <v>16</v>
      </c>
      <c r="X11" s="174"/>
      <c r="Y11" s="5"/>
      <c r="Z11"/>
    </row>
    <row r="12" spans="1:26" ht="15" customHeight="1" x14ac:dyDescent="0.25">
      <c r="A12" s="161"/>
      <c r="B12" s="52"/>
      <c r="C12" s="3"/>
      <c r="D12" s="46"/>
      <c r="E12" s="46"/>
      <c r="F12" s="46"/>
      <c r="G12" s="46"/>
      <c r="H12" s="5"/>
      <c r="I12" s="46"/>
      <c r="J12" s="46"/>
      <c r="K12" s="46"/>
      <c r="L12" s="46"/>
      <c r="M12" s="5"/>
      <c r="N12" s="46" t="e">
        <f>Perakende!M14+#REF!</f>
        <v>#REF!</v>
      </c>
      <c r="O12" s="46" t="e">
        <f>Perakende!N14+#REF!</f>
        <v>#REF!</v>
      </c>
      <c r="P12" s="46"/>
      <c r="Q12" s="5"/>
      <c r="R12" s="46"/>
      <c r="S12" s="46"/>
      <c r="T12" s="46"/>
      <c r="U12" s="46"/>
      <c r="V12" s="173" t="s">
        <v>16</v>
      </c>
      <c r="W12" s="174" t="s">
        <v>16</v>
      </c>
      <c r="X12" s="174"/>
      <c r="Y12" s="5"/>
      <c r="Z12"/>
    </row>
    <row r="13" spans="1:26" ht="15" customHeight="1" x14ac:dyDescent="0.25">
      <c r="A13" s="161"/>
      <c r="B13" s="52"/>
      <c r="C13" s="3"/>
      <c r="D13" s="46"/>
      <c r="E13" s="46"/>
      <c r="F13" s="46"/>
      <c r="G13" s="46"/>
      <c r="H13" s="5"/>
      <c r="I13" s="46"/>
      <c r="J13" s="46"/>
      <c r="K13" s="46"/>
      <c r="L13" s="46"/>
      <c r="M13" s="5"/>
      <c r="N13" s="46" t="e">
        <f>Perakende!M15+#REF!</f>
        <v>#REF!</v>
      </c>
      <c r="O13" s="46" t="e">
        <f>Perakende!N15+#REF!</f>
        <v>#REF!</v>
      </c>
      <c r="P13" s="46"/>
      <c r="Q13" s="5"/>
      <c r="R13" s="46"/>
      <c r="S13" s="46"/>
      <c r="T13" s="46"/>
      <c r="U13" s="46"/>
      <c r="V13" s="173" t="s">
        <v>16</v>
      </c>
      <c r="W13" s="174" t="s">
        <v>16</v>
      </c>
      <c r="X13" s="174"/>
      <c r="Y13" s="5"/>
      <c r="Z13"/>
    </row>
    <row r="14" spans="1:26" ht="15" customHeight="1" x14ac:dyDescent="0.25">
      <c r="A14" s="161"/>
      <c r="B14" s="52"/>
      <c r="C14" s="3"/>
      <c r="D14" s="46"/>
      <c r="E14" s="46"/>
      <c r="F14" s="46"/>
      <c r="G14" s="46"/>
      <c r="H14" s="5"/>
      <c r="I14" s="46"/>
      <c r="J14" s="46"/>
      <c r="K14" s="46"/>
      <c r="L14" s="46"/>
      <c r="M14" s="5"/>
      <c r="N14" s="46" t="e">
        <f>Perakende!M16+#REF!</f>
        <v>#REF!</v>
      </c>
      <c r="O14" s="46" t="e">
        <f>Perakende!N16+#REF!</f>
        <v>#REF!</v>
      </c>
      <c r="P14" s="46"/>
      <c r="Q14" s="5"/>
      <c r="R14" s="46"/>
      <c r="S14" s="46"/>
      <c r="T14" s="46"/>
      <c r="U14" s="46"/>
      <c r="V14" s="173" t="s">
        <v>16</v>
      </c>
      <c r="W14" s="174" t="s">
        <v>16</v>
      </c>
      <c r="X14" s="174"/>
      <c r="Y14" s="5"/>
      <c r="Z14"/>
    </row>
    <row r="15" spans="1:26" ht="15" customHeight="1" x14ac:dyDescent="0.25">
      <c r="A15" s="161"/>
      <c r="B15" s="52"/>
      <c r="C15" s="3"/>
      <c r="D15" s="46"/>
      <c r="E15" s="46"/>
      <c r="F15" s="46"/>
      <c r="G15" s="46"/>
      <c r="H15" s="5"/>
      <c r="I15" s="46"/>
      <c r="J15" s="46"/>
      <c r="K15" s="46"/>
      <c r="L15" s="46"/>
      <c r="M15" s="5"/>
      <c r="N15" s="46" t="e">
        <f>Perakende!M17+#REF!</f>
        <v>#REF!</v>
      </c>
      <c r="O15" s="46" t="e">
        <f>Perakende!N17+#REF!</f>
        <v>#REF!</v>
      </c>
      <c r="P15" s="46"/>
      <c r="Q15" s="5"/>
      <c r="R15" s="46"/>
      <c r="S15" s="46"/>
      <c r="T15" s="46"/>
      <c r="U15" s="46"/>
      <c r="V15" s="173" t="s">
        <v>16</v>
      </c>
      <c r="W15" s="174" t="s">
        <v>16</v>
      </c>
      <c r="X15" s="174"/>
      <c r="Y15" s="5"/>
      <c r="Z15"/>
    </row>
    <row r="16" spans="1:26" ht="15" customHeight="1" x14ac:dyDescent="0.25">
      <c r="A16" s="161"/>
      <c r="B16" s="52"/>
      <c r="C16" s="3"/>
      <c r="D16" s="46"/>
      <c r="E16" s="46"/>
      <c r="F16" s="46"/>
      <c r="G16" s="46"/>
      <c r="H16" s="5"/>
      <c r="I16" s="46"/>
      <c r="J16" s="46"/>
      <c r="K16" s="46"/>
      <c r="L16" s="46"/>
      <c r="M16" s="5"/>
      <c r="N16" s="46" t="e">
        <f>Perakende!M18+#REF!</f>
        <v>#REF!</v>
      </c>
      <c r="O16" s="46" t="e">
        <f>Perakende!N18+#REF!</f>
        <v>#REF!</v>
      </c>
      <c r="P16" s="46"/>
      <c r="Q16" s="5"/>
      <c r="R16" s="46"/>
      <c r="S16" s="46"/>
      <c r="T16" s="46"/>
      <c r="U16" s="46"/>
      <c r="V16" s="173" t="s">
        <v>16</v>
      </c>
      <c r="W16" s="174" t="s">
        <v>16</v>
      </c>
      <c r="X16" s="174"/>
      <c r="Y16" s="5"/>
      <c r="Z16"/>
    </row>
    <row r="17" spans="1:26" ht="15" customHeight="1" x14ac:dyDescent="0.25">
      <c r="A17" s="161"/>
      <c r="B17" s="52"/>
      <c r="C17" s="3"/>
      <c r="D17" s="46"/>
      <c r="E17" s="46"/>
      <c r="F17" s="46"/>
      <c r="G17" s="46"/>
      <c r="H17" s="5"/>
      <c r="I17" s="46"/>
      <c r="J17" s="46"/>
      <c r="K17" s="46"/>
      <c r="L17" s="46"/>
      <c r="M17" s="5"/>
      <c r="N17" s="46" t="e">
        <f>Perakende!M19+#REF!</f>
        <v>#REF!</v>
      </c>
      <c r="O17" s="46" t="e">
        <f>Perakende!N19+#REF!</f>
        <v>#REF!</v>
      </c>
      <c r="P17" s="46"/>
      <c r="Q17" s="5"/>
      <c r="R17" s="46"/>
      <c r="S17" s="46"/>
      <c r="T17" s="46"/>
      <c r="U17" s="46"/>
      <c r="V17" s="173" t="s">
        <v>16</v>
      </c>
      <c r="W17" s="174" t="s">
        <v>16</v>
      </c>
      <c r="X17" s="174"/>
      <c r="Y17" s="5"/>
      <c r="Z17"/>
    </row>
    <row r="18" spans="1:26" ht="15" customHeight="1" x14ac:dyDescent="0.25">
      <c r="A18" s="161"/>
      <c r="B18" s="52"/>
      <c r="C18" s="3"/>
      <c r="D18" s="46"/>
      <c r="E18" s="46"/>
      <c r="F18" s="46"/>
      <c r="G18" s="46"/>
      <c r="H18" s="5"/>
      <c r="I18" s="46"/>
      <c r="J18" s="46"/>
      <c r="K18" s="46"/>
      <c r="L18" s="46"/>
      <c r="M18" s="5"/>
      <c r="N18" s="46" t="e">
        <f>Perakende!M20+#REF!</f>
        <v>#REF!</v>
      </c>
      <c r="O18" s="46" t="e">
        <f>Perakende!N20+#REF!</f>
        <v>#REF!</v>
      </c>
      <c r="P18" s="46"/>
      <c r="Q18" s="5"/>
      <c r="R18" s="46"/>
      <c r="S18" s="46"/>
      <c r="T18" s="46"/>
      <c r="U18" s="46"/>
      <c r="V18" s="173" t="s">
        <v>16</v>
      </c>
      <c r="W18" s="174" t="s">
        <v>16</v>
      </c>
      <c r="X18" s="174"/>
      <c r="Y18" s="5"/>
      <c r="Z18"/>
    </row>
    <row r="19" spans="1:26" ht="15" customHeight="1" x14ac:dyDescent="0.25">
      <c r="A19" s="27" t="s">
        <v>16</v>
      </c>
      <c r="B19" s="176" t="s">
        <v>142</v>
      </c>
      <c r="C19" s="164"/>
      <c r="D19" s="165"/>
      <c r="E19" s="165"/>
      <c r="F19" s="165"/>
      <c r="G19" s="165"/>
      <c r="H19"/>
      <c r="I19" s="165"/>
      <c r="J19" s="165"/>
      <c r="K19" s="165"/>
      <c r="L19" s="165"/>
      <c r="M19"/>
      <c r="Q19" s="2"/>
      <c r="Y19"/>
      <c r="Z19"/>
    </row>
    <row r="20" spans="1:26" ht="14.45" customHeight="1" x14ac:dyDescent="0.25">
      <c r="A20" s="27" t="s">
        <v>16</v>
      </c>
      <c r="B20" s="54"/>
      <c r="I20" s="2"/>
      <c r="Y20" s="1"/>
      <c r="Z20"/>
    </row>
    <row r="21" spans="1:26" x14ac:dyDescent="0.25">
      <c r="A21" s="166"/>
      <c r="B21" s="78"/>
      <c r="C21" s="15"/>
      <c r="D21" s="16"/>
      <c r="E21" s="16"/>
      <c r="F21" s="16"/>
      <c r="G21" s="16"/>
      <c r="I21" s="16"/>
      <c r="J21" s="16"/>
      <c r="K21" s="16"/>
      <c r="L21" s="16"/>
      <c r="N21" s="4"/>
      <c r="O21" s="4"/>
      <c r="P21" s="4"/>
      <c r="R21" s="4"/>
      <c r="S21" s="4"/>
      <c r="T21" s="4"/>
      <c r="U21" s="4"/>
      <c r="V21" s="6"/>
      <c r="W21" s="8"/>
      <c r="X21" s="8"/>
      <c r="Y21" s="1"/>
      <c r="Z21"/>
    </row>
    <row r="22" spans="1:26" x14ac:dyDescent="0.25">
      <c r="A22" s="166"/>
      <c r="B22" s="78"/>
      <c r="C22" s="15"/>
      <c r="D22" s="16"/>
      <c r="E22" s="16"/>
      <c r="F22" s="16"/>
      <c r="G22" s="16"/>
      <c r="I22" s="16"/>
      <c r="J22" s="16"/>
      <c r="K22" s="16"/>
      <c r="L22" s="16"/>
      <c r="N22" s="4"/>
      <c r="O22" s="4"/>
      <c r="P22" s="4"/>
      <c r="R22" s="4"/>
      <c r="S22" s="4"/>
      <c r="T22" s="4"/>
      <c r="U22" s="4"/>
      <c r="V22" s="6"/>
      <c r="W22" s="8"/>
      <c r="X22" s="8"/>
      <c r="Y22" s="1"/>
      <c r="Z22"/>
    </row>
    <row r="23" spans="1:26" x14ac:dyDescent="0.25">
      <c r="A23" s="166"/>
      <c r="B23" s="78"/>
      <c r="C23" s="15"/>
      <c r="D23" s="16"/>
      <c r="E23" s="16"/>
      <c r="F23" s="16"/>
      <c r="G23" s="16"/>
      <c r="I23" s="16"/>
      <c r="J23" s="16"/>
      <c r="K23" s="16"/>
      <c r="L23" s="16"/>
      <c r="N23" s="4"/>
      <c r="O23" s="4"/>
      <c r="P23" s="4"/>
      <c r="R23" s="4"/>
      <c r="S23" s="4"/>
      <c r="T23" s="4"/>
      <c r="U23" s="4"/>
      <c r="V23" s="6"/>
      <c r="W23" s="8"/>
      <c r="X23" s="8"/>
      <c r="Y23" s="1"/>
      <c r="Z23"/>
    </row>
    <row r="24" spans="1:26" x14ac:dyDescent="0.25">
      <c r="A24" s="166"/>
      <c r="B24" s="78"/>
      <c r="C24" s="15"/>
      <c r="D24" s="16"/>
      <c r="E24" s="16"/>
      <c r="F24" s="16"/>
      <c r="G24" s="16"/>
      <c r="I24" s="16"/>
      <c r="J24" s="16"/>
      <c r="K24" s="16"/>
      <c r="L24" s="16"/>
      <c r="N24" s="4"/>
      <c r="O24" s="4"/>
      <c r="P24" s="4"/>
      <c r="R24" s="4"/>
      <c r="S24" s="4"/>
      <c r="T24" s="4"/>
      <c r="U24" s="4"/>
      <c r="V24" s="6"/>
      <c r="W24" s="8"/>
      <c r="X24" s="8"/>
      <c r="Y24" s="1"/>
      <c r="Z24"/>
    </row>
    <row r="25" spans="1:26" x14ac:dyDescent="0.25">
      <c r="A25" s="166"/>
      <c r="B25" s="78"/>
      <c r="C25" s="15"/>
      <c r="D25" s="16"/>
      <c r="E25" s="16"/>
      <c r="F25" s="16"/>
      <c r="G25" s="16"/>
      <c r="I25" s="16"/>
      <c r="J25" s="16"/>
      <c r="K25" s="16"/>
      <c r="L25" s="16"/>
      <c r="N25" s="4"/>
      <c r="O25" s="4"/>
      <c r="P25" s="4"/>
      <c r="R25" s="4"/>
      <c r="S25" s="4"/>
      <c r="T25" s="4"/>
      <c r="U25" s="4"/>
      <c r="V25" s="6"/>
      <c r="W25" s="8"/>
      <c r="X25" s="8"/>
      <c r="Y25" s="1"/>
      <c r="Z25"/>
    </row>
    <row r="26" spans="1:26" x14ac:dyDescent="0.25">
      <c r="A26" s="166"/>
      <c r="B26" s="78"/>
      <c r="C26" s="15"/>
      <c r="D26" s="16"/>
      <c r="E26" s="16"/>
      <c r="F26" s="16"/>
      <c r="G26" s="16"/>
      <c r="I26" s="16"/>
      <c r="J26" s="16"/>
      <c r="K26" s="16"/>
      <c r="L26" s="16"/>
      <c r="N26" s="4"/>
      <c r="O26" s="4"/>
      <c r="P26" s="4"/>
      <c r="R26" s="4"/>
      <c r="S26" s="4"/>
      <c r="T26" s="4"/>
      <c r="U26" s="4"/>
      <c r="V26" s="6"/>
      <c r="W26" s="8"/>
      <c r="X26" s="8"/>
      <c r="Y26" s="1"/>
      <c r="Z26"/>
    </row>
    <row r="27" spans="1:26" x14ac:dyDescent="0.25">
      <c r="A27" s="166"/>
      <c r="B27" s="78"/>
      <c r="C27" s="15"/>
      <c r="D27" s="16"/>
      <c r="E27" s="16"/>
      <c r="F27" s="16"/>
      <c r="G27" s="16"/>
      <c r="I27" s="16"/>
      <c r="J27" s="16"/>
      <c r="K27" s="16"/>
      <c r="L27" s="16"/>
      <c r="N27" s="4"/>
      <c r="O27" s="4"/>
      <c r="P27" s="4"/>
      <c r="R27" s="4"/>
      <c r="S27" s="4"/>
      <c r="T27" s="4"/>
      <c r="U27" s="4"/>
      <c r="V27" s="6"/>
      <c r="W27" s="8"/>
      <c r="X27" s="8"/>
      <c r="Y27" s="1"/>
      <c r="Z27"/>
    </row>
    <row r="28" spans="1:26" x14ac:dyDescent="0.25">
      <c r="A28" s="166"/>
      <c r="B28" s="78"/>
      <c r="C28" s="15"/>
      <c r="D28" s="16"/>
      <c r="E28" s="16"/>
      <c r="F28" s="16"/>
      <c r="G28" s="16"/>
      <c r="I28" s="16"/>
      <c r="J28" s="16"/>
      <c r="K28" s="16"/>
      <c r="L28" s="16"/>
      <c r="N28" s="4"/>
      <c r="O28" s="4"/>
      <c r="P28" s="4"/>
      <c r="R28" s="4"/>
      <c r="S28" s="4"/>
      <c r="T28" s="4"/>
      <c r="U28" s="4"/>
      <c r="V28" s="6"/>
      <c r="W28" s="8"/>
      <c r="X28" s="8"/>
      <c r="Y28" s="1"/>
      <c r="Z28"/>
    </row>
    <row r="29" spans="1:26" x14ac:dyDescent="0.25">
      <c r="A29" s="166"/>
      <c r="B29" s="78"/>
      <c r="C29" s="15"/>
      <c r="D29" s="16"/>
      <c r="E29" s="16"/>
      <c r="F29" s="16"/>
      <c r="G29" s="16"/>
      <c r="I29" s="16"/>
      <c r="J29" s="16"/>
      <c r="K29" s="16"/>
      <c r="L29" s="16"/>
      <c r="N29" s="4"/>
      <c r="O29" s="4"/>
      <c r="P29" s="4"/>
      <c r="R29" s="4"/>
      <c r="S29" s="4"/>
      <c r="T29" s="4"/>
      <c r="U29" s="4"/>
      <c r="V29" s="6"/>
      <c r="W29" s="8"/>
      <c r="X29" s="8"/>
      <c r="Y29" s="1"/>
      <c r="Z29"/>
    </row>
    <row r="30" spans="1:26" x14ac:dyDescent="0.25">
      <c r="A30" s="166"/>
      <c r="B30" s="78"/>
      <c r="C30" s="15"/>
      <c r="D30" s="16"/>
      <c r="E30" s="16"/>
      <c r="F30" s="16"/>
      <c r="G30" s="16"/>
      <c r="I30" s="16"/>
      <c r="J30" s="16"/>
      <c r="K30" s="16"/>
      <c r="L30" s="16"/>
      <c r="N30" s="4"/>
      <c r="O30" s="4"/>
      <c r="P30" s="4"/>
      <c r="R30" s="4"/>
      <c r="S30" s="4"/>
      <c r="T30" s="4"/>
      <c r="U30" s="4"/>
      <c r="V30" s="6"/>
      <c r="W30" s="8"/>
      <c r="X30" s="8"/>
      <c r="Y30" s="1"/>
      <c r="Z30"/>
    </row>
    <row r="31" spans="1:26" x14ac:dyDescent="0.25">
      <c r="A31" s="166"/>
      <c r="B31" s="78"/>
      <c r="C31" s="15"/>
      <c r="D31" s="16"/>
      <c r="E31" s="16"/>
      <c r="F31" s="16"/>
      <c r="G31" s="16"/>
      <c r="I31" s="16"/>
      <c r="J31" s="16"/>
      <c r="K31" s="16"/>
      <c r="L31" s="16"/>
      <c r="N31" s="4"/>
      <c r="O31" s="4"/>
      <c r="P31" s="4"/>
      <c r="R31" s="4"/>
      <c r="S31" s="4"/>
      <c r="T31" s="4"/>
      <c r="U31" s="4"/>
      <c r="V31" s="6"/>
      <c r="W31" s="8"/>
      <c r="X31" s="8"/>
      <c r="Y31" s="1"/>
      <c r="Z31"/>
    </row>
    <row r="32" spans="1:26" x14ac:dyDescent="0.25">
      <c r="A32" s="166"/>
      <c r="B32" s="78"/>
      <c r="C32" s="15"/>
      <c r="D32" s="16"/>
      <c r="E32" s="16"/>
      <c r="F32" s="16"/>
      <c r="G32" s="16"/>
      <c r="I32" s="16"/>
      <c r="J32" s="16"/>
      <c r="K32" s="16"/>
      <c r="L32" s="16"/>
      <c r="N32" s="4"/>
      <c r="O32" s="4"/>
      <c r="P32" s="4"/>
      <c r="R32" s="4"/>
      <c r="S32" s="4"/>
      <c r="T32" s="4"/>
      <c r="U32" s="4"/>
      <c r="V32" s="6"/>
      <c r="W32" s="8"/>
      <c r="X32" s="8"/>
      <c r="Y32" s="1"/>
      <c r="Z32"/>
    </row>
    <row r="33" spans="1:26" ht="15.75" customHeight="1" x14ac:dyDescent="0.25">
      <c r="A33" s="166"/>
      <c r="B33" s="78"/>
      <c r="C33" s="15"/>
      <c r="D33" s="44"/>
      <c r="E33" s="44"/>
      <c r="F33" s="44"/>
      <c r="G33" s="44"/>
      <c r="I33" s="16"/>
      <c r="J33" s="16"/>
      <c r="K33" s="16"/>
      <c r="L33" s="16"/>
      <c r="N33" s="4"/>
      <c r="O33" s="4"/>
      <c r="P33" s="4"/>
      <c r="R33" s="4"/>
      <c r="S33" s="4"/>
      <c r="T33" s="4"/>
      <c r="U33" s="4"/>
      <c r="V33" s="6"/>
      <c r="W33" s="8"/>
      <c r="X33" s="8"/>
      <c r="Y33" s="1"/>
      <c r="Z33"/>
    </row>
    <row r="34" spans="1:26" ht="15.75" customHeight="1" x14ac:dyDescent="0.25">
      <c r="A34" s="166"/>
      <c r="B34" s="78"/>
      <c r="C34" s="15"/>
      <c r="D34" s="44"/>
      <c r="E34" s="44"/>
      <c r="F34" s="44"/>
      <c r="G34" s="44"/>
      <c r="I34" s="16"/>
      <c r="J34" s="16"/>
      <c r="K34" s="16"/>
      <c r="L34" s="16"/>
      <c r="N34" s="4"/>
      <c r="O34" s="4"/>
      <c r="P34" s="4"/>
      <c r="R34" s="4"/>
      <c r="S34" s="4"/>
      <c r="T34" s="4"/>
      <c r="U34" s="4"/>
      <c r="V34" s="8"/>
      <c r="W34" s="8"/>
      <c r="X34" s="8"/>
      <c r="Y34" s="1"/>
      <c r="Z34"/>
    </row>
    <row r="35" spans="1:26" x14ac:dyDescent="0.25">
      <c r="A35" s="27" t="s">
        <v>16</v>
      </c>
      <c r="B35" s="176" t="s">
        <v>143</v>
      </c>
      <c r="C35" s="164"/>
      <c r="D35" s="165"/>
      <c r="E35" s="165"/>
      <c r="F35" s="165"/>
      <c r="G35" s="165"/>
      <c r="H35"/>
      <c r="I35" s="165"/>
      <c r="J35" s="165"/>
      <c r="K35" s="165"/>
      <c r="L35" s="165"/>
      <c r="M35"/>
      <c r="Q35" s="2"/>
      <c r="Y35"/>
      <c r="Z35"/>
    </row>
    <row r="36" spans="1:26" x14ac:dyDescent="0.25">
      <c r="A36" s="175" t="s">
        <v>16</v>
      </c>
      <c r="B36" s="58"/>
      <c r="C36" s="20"/>
      <c r="D36" s="21"/>
      <c r="E36" s="21"/>
      <c r="F36" s="21"/>
      <c r="G36" s="21"/>
      <c r="H36" s="22"/>
      <c r="I36" s="21"/>
      <c r="J36" s="21"/>
      <c r="K36" s="21"/>
      <c r="L36" s="21"/>
      <c r="M36" s="22"/>
      <c r="N36" s="23"/>
      <c r="O36" s="23"/>
      <c r="P36" s="23"/>
      <c r="Q36" s="22"/>
      <c r="R36" s="23"/>
      <c r="S36" s="23"/>
      <c r="T36" s="23"/>
      <c r="U36" s="23"/>
      <c r="V36" s="23"/>
      <c r="W36" s="23"/>
      <c r="X36" s="23"/>
      <c r="Y36" s="22"/>
      <c r="Z36"/>
    </row>
    <row r="37" spans="1:26" x14ac:dyDescent="0.25">
      <c r="A37" s="167"/>
      <c r="B37" s="78"/>
      <c r="C37" s="15"/>
      <c r="D37" s="16"/>
      <c r="E37" s="16"/>
      <c r="F37" s="16"/>
      <c r="G37" s="16"/>
      <c r="I37" s="16"/>
      <c r="J37" s="16"/>
      <c r="K37" s="16"/>
      <c r="L37" s="16"/>
      <c r="N37" s="4"/>
      <c r="O37" s="4"/>
      <c r="P37" s="4"/>
      <c r="R37" s="4"/>
      <c r="S37" s="4"/>
      <c r="T37" s="4"/>
      <c r="U37" s="4"/>
      <c r="V37" s="6"/>
      <c r="W37" s="8"/>
      <c r="X37" s="8"/>
      <c r="Y37" s="1"/>
      <c r="Z37"/>
    </row>
    <row r="38" spans="1:26" x14ac:dyDescent="0.25">
      <c r="A38" s="167"/>
      <c r="B38" s="78"/>
      <c r="C38" s="15"/>
      <c r="D38" s="16"/>
      <c r="E38" s="16"/>
      <c r="F38" s="16"/>
      <c r="G38" s="16"/>
      <c r="I38" s="16"/>
      <c r="J38" s="16"/>
      <c r="K38" s="16"/>
      <c r="L38" s="16"/>
      <c r="N38" s="4"/>
      <c r="O38" s="4"/>
      <c r="P38" s="4"/>
      <c r="R38" s="4"/>
      <c r="S38" s="4"/>
      <c r="T38" s="4"/>
      <c r="U38" s="4"/>
      <c r="V38" s="6"/>
      <c r="W38" s="8"/>
      <c r="X38" s="8"/>
      <c r="Y38" s="1"/>
      <c r="Z38"/>
    </row>
    <row r="39" spans="1:26" x14ac:dyDescent="0.25">
      <c r="A39" s="167"/>
      <c r="B39" s="78"/>
      <c r="C39" s="15"/>
      <c r="D39" s="16"/>
      <c r="E39" s="16"/>
      <c r="F39" s="16"/>
      <c r="G39" s="16"/>
      <c r="I39" s="16"/>
      <c r="J39" s="16"/>
      <c r="K39" s="16"/>
      <c r="L39" s="16"/>
      <c r="N39" s="4"/>
      <c r="O39" s="4"/>
      <c r="P39" s="4"/>
      <c r="R39" s="4"/>
      <c r="S39" s="4"/>
      <c r="T39" s="4"/>
      <c r="U39" s="4"/>
      <c r="V39" s="6"/>
      <c r="W39" s="8"/>
      <c r="X39" s="8"/>
      <c r="Y39" s="1"/>
      <c r="Z39"/>
    </row>
    <row r="40" spans="1:26" x14ac:dyDescent="0.25">
      <c r="A40" s="167"/>
      <c r="B40" s="78"/>
      <c r="C40" s="15"/>
      <c r="D40" s="16"/>
      <c r="E40" s="16"/>
      <c r="F40" s="16"/>
      <c r="G40" s="16"/>
      <c r="I40" s="16"/>
      <c r="J40" s="16"/>
      <c r="K40" s="16"/>
      <c r="L40" s="16"/>
      <c r="N40" s="4"/>
      <c r="O40" s="4"/>
      <c r="P40" s="4"/>
      <c r="R40" s="4"/>
      <c r="S40" s="4"/>
      <c r="T40" s="4"/>
      <c r="U40" s="4"/>
      <c r="V40" s="6"/>
      <c r="W40" s="8"/>
      <c r="X40" s="8"/>
      <c r="Y40" s="1"/>
      <c r="Z40"/>
    </row>
    <row r="41" spans="1:26" x14ac:dyDescent="0.25">
      <c r="A41" s="167"/>
      <c r="B41" s="78"/>
      <c r="C41" s="15"/>
      <c r="D41" s="16"/>
      <c r="E41" s="16"/>
      <c r="F41" s="16"/>
      <c r="G41" s="16"/>
      <c r="I41" s="16"/>
      <c r="J41" s="16"/>
      <c r="K41" s="16"/>
      <c r="L41" s="16"/>
      <c r="N41" s="4"/>
      <c r="O41" s="4"/>
      <c r="P41" s="4"/>
      <c r="R41" s="4"/>
      <c r="S41" s="4"/>
      <c r="T41" s="4"/>
      <c r="U41" s="4"/>
      <c r="V41" s="6"/>
      <c r="W41" s="8"/>
      <c r="X41" s="8"/>
      <c r="Y41" s="1"/>
      <c r="Z41"/>
    </row>
    <row r="42" spans="1:26" x14ac:dyDescent="0.25">
      <c r="A42" s="167"/>
      <c r="B42" s="78"/>
      <c r="C42" s="15"/>
      <c r="D42" s="16"/>
      <c r="E42" s="16"/>
      <c r="F42" s="16"/>
      <c r="G42" s="16"/>
      <c r="I42" s="16"/>
      <c r="J42" s="16"/>
      <c r="K42" s="16"/>
      <c r="L42" s="16"/>
      <c r="N42" s="4"/>
      <c r="O42" s="4"/>
      <c r="P42" s="4"/>
      <c r="R42" s="4"/>
      <c r="S42" s="4"/>
      <c r="T42" s="4"/>
      <c r="U42" s="4"/>
      <c r="V42" s="6"/>
      <c r="W42" s="8"/>
      <c r="X42" s="8"/>
      <c r="Y42" s="1"/>
      <c r="Z42"/>
    </row>
    <row r="43" spans="1:26" x14ac:dyDescent="0.25">
      <c r="A43" s="167"/>
      <c r="B43" s="78"/>
      <c r="C43" s="15"/>
      <c r="D43" s="16"/>
      <c r="E43" s="16"/>
      <c r="F43" s="16"/>
      <c r="G43" s="16"/>
      <c r="I43" s="16"/>
      <c r="J43" s="16"/>
      <c r="K43" s="16"/>
      <c r="L43" s="16"/>
      <c r="N43" s="4"/>
      <c r="O43" s="4"/>
      <c r="P43" s="4"/>
      <c r="R43" s="4"/>
      <c r="S43" s="4"/>
      <c r="T43" s="4"/>
      <c r="U43" s="4"/>
      <c r="V43" s="6"/>
      <c r="W43" s="8"/>
      <c r="X43" s="8"/>
      <c r="Y43" s="1"/>
      <c r="Z43"/>
    </row>
    <row r="44" spans="1:26" x14ac:dyDescent="0.25">
      <c r="A44" s="167"/>
      <c r="B44" s="78"/>
      <c r="C44" s="15"/>
      <c r="D44" s="16"/>
      <c r="E44" s="16"/>
      <c r="F44" s="16"/>
      <c r="G44" s="16"/>
      <c r="I44" s="16"/>
      <c r="J44" s="16"/>
      <c r="K44" s="16"/>
      <c r="L44" s="16"/>
      <c r="N44" s="4"/>
      <c r="O44" s="4"/>
      <c r="P44" s="4"/>
      <c r="R44" s="4"/>
      <c r="S44" s="4"/>
      <c r="T44" s="4"/>
      <c r="U44" s="4"/>
      <c r="V44" s="6"/>
      <c r="W44" s="8"/>
      <c r="X44" s="8"/>
      <c r="Y44" s="1"/>
      <c r="Z44"/>
    </row>
    <row r="45" spans="1:26" x14ac:dyDescent="0.25">
      <c r="A45" s="167"/>
      <c r="B45" s="78"/>
      <c r="C45" s="15"/>
      <c r="D45" s="16"/>
      <c r="E45" s="16"/>
      <c r="F45" s="16"/>
      <c r="G45" s="16"/>
      <c r="I45" s="16"/>
      <c r="J45" s="16"/>
      <c r="K45" s="16"/>
      <c r="L45" s="16"/>
      <c r="N45" s="4"/>
      <c r="O45" s="4"/>
      <c r="P45" s="4"/>
      <c r="R45" s="4"/>
      <c r="S45" s="4"/>
      <c r="T45" s="4"/>
      <c r="U45" s="4"/>
      <c r="V45" s="6"/>
      <c r="W45" s="8"/>
      <c r="X45" s="8"/>
      <c r="Y45" s="1"/>
      <c r="Z45"/>
    </row>
    <row r="46" spans="1:26" x14ac:dyDescent="0.25">
      <c r="A46" s="167"/>
      <c r="B46" s="78"/>
      <c r="C46" s="15"/>
      <c r="D46" s="16"/>
      <c r="E46" s="16"/>
      <c r="F46" s="16"/>
      <c r="G46" s="16"/>
      <c r="I46" s="16"/>
      <c r="J46" s="16"/>
      <c r="K46" s="16"/>
      <c r="L46" s="16"/>
      <c r="N46" s="4"/>
      <c r="O46" s="4"/>
      <c r="P46" s="4"/>
      <c r="R46" s="4"/>
      <c r="S46" s="4"/>
      <c r="T46" s="4"/>
      <c r="U46" s="4"/>
      <c r="V46" s="6"/>
      <c r="W46" s="8"/>
      <c r="X46" s="8"/>
      <c r="Y46" s="1"/>
      <c r="Z46"/>
    </row>
    <row r="47" spans="1:26" x14ac:dyDescent="0.25">
      <c r="A47" s="167"/>
      <c r="B47" s="78"/>
      <c r="C47" s="15"/>
      <c r="D47" s="16"/>
      <c r="E47" s="16"/>
      <c r="F47" s="16"/>
      <c r="G47" s="16"/>
      <c r="I47" s="16"/>
      <c r="J47" s="16"/>
      <c r="K47" s="16"/>
      <c r="L47" s="16"/>
      <c r="N47" s="4"/>
      <c r="O47" s="4"/>
      <c r="P47" s="4"/>
      <c r="R47" s="4"/>
      <c r="S47" s="4"/>
      <c r="T47" s="4"/>
      <c r="U47" s="4"/>
      <c r="V47" s="6"/>
      <c r="W47" s="8"/>
      <c r="X47" s="8"/>
      <c r="Y47" s="1"/>
      <c r="Z47"/>
    </row>
    <row r="48" spans="1:26" x14ac:dyDescent="0.25">
      <c r="A48" s="167"/>
      <c r="B48" s="78"/>
      <c r="C48" s="15"/>
      <c r="D48" s="16"/>
      <c r="E48" s="16"/>
      <c r="F48" s="16"/>
      <c r="G48" s="16"/>
      <c r="I48" s="16"/>
      <c r="J48" s="16"/>
      <c r="K48" s="16"/>
      <c r="L48" s="16"/>
      <c r="N48" s="4"/>
      <c r="O48" s="4"/>
      <c r="P48" s="4"/>
      <c r="R48" s="4"/>
      <c r="S48" s="4"/>
      <c r="T48" s="4"/>
      <c r="U48" s="4"/>
      <c r="V48" s="6"/>
      <c r="W48" s="8"/>
      <c r="X48" s="8"/>
      <c r="Y48" s="1"/>
      <c r="Z48"/>
    </row>
    <row r="49" spans="1:26" x14ac:dyDescent="0.25">
      <c r="A49" s="167"/>
      <c r="B49" s="78"/>
      <c r="C49" s="15"/>
      <c r="D49" s="16"/>
      <c r="E49" s="16"/>
      <c r="F49" s="16"/>
      <c r="G49" s="16"/>
      <c r="I49" s="16"/>
      <c r="J49" s="16"/>
      <c r="K49" s="16"/>
      <c r="L49" s="16"/>
      <c r="N49" s="4"/>
      <c r="O49" s="4"/>
      <c r="P49" s="4"/>
      <c r="R49" s="4"/>
      <c r="S49" s="4"/>
      <c r="T49" s="4"/>
      <c r="U49" s="4"/>
      <c r="V49" s="6"/>
      <c r="W49" s="8"/>
      <c r="X49" s="8"/>
      <c r="Y49" s="1"/>
      <c r="Z49"/>
    </row>
    <row r="50" spans="1:26" x14ac:dyDescent="0.25">
      <c r="A50" s="167"/>
      <c r="B50" s="78"/>
      <c r="C50" s="15"/>
      <c r="D50" s="16"/>
      <c r="E50" s="16"/>
      <c r="F50" s="16"/>
      <c r="G50" s="16"/>
      <c r="I50" s="16"/>
      <c r="J50" s="16"/>
      <c r="K50" s="16"/>
      <c r="L50" s="16"/>
      <c r="N50" s="4"/>
      <c r="O50" s="4"/>
      <c r="P50" s="4"/>
      <c r="R50" s="4"/>
      <c r="S50" s="4"/>
      <c r="T50" s="4"/>
      <c r="U50" s="4"/>
      <c r="V50" s="6"/>
      <c r="W50" s="8"/>
      <c r="X50" s="8"/>
      <c r="Y50" s="1"/>
      <c r="Z50"/>
    </row>
    <row r="51" spans="1:26" ht="15" customHeight="1" x14ac:dyDescent="0.25">
      <c r="A51" s="167"/>
      <c r="B51" s="78"/>
      <c r="C51" s="15"/>
      <c r="D51" s="44"/>
      <c r="E51" s="44"/>
      <c r="F51" s="44"/>
      <c r="G51" s="44"/>
      <c r="I51" s="16"/>
      <c r="J51" s="16"/>
      <c r="K51" s="16"/>
      <c r="L51" s="16"/>
      <c r="N51" s="4"/>
      <c r="O51" s="4"/>
      <c r="P51" s="4"/>
      <c r="R51" s="4"/>
      <c r="S51" s="4"/>
      <c r="T51" s="4"/>
      <c r="U51" s="4"/>
      <c r="V51" s="6"/>
      <c r="W51" s="8"/>
      <c r="X51" s="8"/>
      <c r="Y51" s="1"/>
      <c r="Z51"/>
    </row>
    <row r="52" spans="1:26" ht="15" customHeight="1" x14ac:dyDescent="0.25">
      <c r="A52" s="167"/>
      <c r="B52" s="78"/>
      <c r="C52" s="15"/>
      <c r="D52" s="44"/>
      <c r="E52" s="44"/>
      <c r="F52" s="44"/>
      <c r="G52" s="44"/>
      <c r="I52" s="16"/>
      <c r="J52" s="16"/>
      <c r="K52" s="16"/>
      <c r="L52" s="16"/>
      <c r="N52" s="4"/>
      <c r="O52" s="4"/>
      <c r="P52" s="4"/>
      <c r="R52" s="4"/>
      <c r="S52" s="4"/>
      <c r="T52" s="4"/>
      <c r="U52" s="4"/>
      <c r="V52" s="8"/>
      <c r="W52" s="8"/>
      <c r="X52" s="8"/>
      <c r="Y52" s="1"/>
      <c r="Z52"/>
    </row>
    <row r="53" spans="1:26" ht="15" customHeight="1" x14ac:dyDescent="0.25">
      <c r="A53" s="27" t="s">
        <v>16</v>
      </c>
      <c r="B53" s="176" t="s">
        <v>144</v>
      </c>
      <c r="C53" s="164"/>
      <c r="D53" s="165"/>
      <c r="E53" s="165"/>
      <c r="F53" s="165"/>
      <c r="G53" s="165"/>
      <c r="H53" s="10"/>
      <c r="I53" s="165"/>
      <c r="J53" s="165"/>
      <c r="K53" s="165"/>
      <c r="L53" s="165"/>
      <c r="M53" s="10"/>
      <c r="N53" s="11"/>
      <c r="O53" s="11"/>
      <c r="P53" s="11"/>
      <c r="Q53" s="10"/>
      <c r="R53" s="11"/>
      <c r="S53" s="11"/>
      <c r="T53" s="11"/>
      <c r="U53" s="11"/>
      <c r="V53" s="11"/>
      <c r="W53" s="11"/>
      <c r="X53" s="11"/>
      <c r="Y53" s="10"/>
      <c r="Z53"/>
    </row>
    <row r="54" spans="1:26" x14ac:dyDescent="0.25">
      <c r="A54" s="175" t="s">
        <v>16</v>
      </c>
      <c r="B54" s="58"/>
      <c r="C54" s="20"/>
      <c r="D54" s="21"/>
      <c r="E54" s="21"/>
      <c r="F54" s="21"/>
      <c r="G54" s="21"/>
      <c r="H54" s="22"/>
      <c r="I54" s="21"/>
      <c r="J54" s="21"/>
      <c r="K54" s="21"/>
      <c r="L54" s="21"/>
      <c r="M54" s="22"/>
      <c r="N54" s="11"/>
      <c r="O54" s="11"/>
      <c r="P54" s="11"/>
      <c r="Q54" s="22"/>
      <c r="R54" s="11"/>
      <c r="S54" s="11"/>
      <c r="T54" s="11"/>
      <c r="U54" s="11"/>
      <c r="V54" s="25"/>
      <c r="W54" s="25"/>
      <c r="X54" s="25"/>
      <c r="Y54" s="22"/>
      <c r="Z54"/>
    </row>
    <row r="55" spans="1:26" ht="15" customHeight="1" x14ac:dyDescent="0.25">
      <c r="A55" s="160"/>
      <c r="B55" s="78"/>
      <c r="C55" s="15"/>
      <c r="D55" s="44"/>
      <c r="E55" s="44"/>
      <c r="F55" s="44"/>
      <c r="G55" s="44"/>
      <c r="I55" s="16"/>
      <c r="J55" s="16"/>
      <c r="K55" s="16"/>
      <c r="L55" s="16"/>
      <c r="N55" s="4"/>
      <c r="O55" s="4"/>
      <c r="P55" s="17"/>
      <c r="R55" s="4"/>
      <c r="S55" s="4"/>
      <c r="T55" s="4"/>
      <c r="U55" s="4"/>
      <c r="V55" s="6"/>
      <c r="W55" s="7"/>
      <c r="X55" s="7"/>
      <c r="Y55" s="1"/>
      <c r="Z55"/>
    </row>
    <row r="56" spans="1:26" ht="15" customHeight="1" x14ac:dyDescent="0.25">
      <c r="A56" s="160"/>
      <c r="B56" s="78"/>
      <c r="C56" s="15"/>
      <c r="D56" s="44"/>
      <c r="E56" s="44"/>
      <c r="F56" s="44"/>
      <c r="G56" s="44"/>
      <c r="I56" s="16"/>
      <c r="J56" s="16"/>
      <c r="K56" s="16"/>
      <c r="L56" s="16"/>
      <c r="N56" s="4"/>
      <c r="O56" s="4"/>
      <c r="P56" s="17"/>
      <c r="R56" s="4"/>
      <c r="S56" s="4"/>
      <c r="T56" s="4"/>
      <c r="U56" s="4"/>
      <c r="V56" s="6"/>
      <c r="W56" s="7"/>
      <c r="X56" s="7"/>
      <c r="Y56" s="1"/>
      <c r="Z56"/>
    </row>
    <row r="57" spans="1:26" ht="15" customHeight="1" x14ac:dyDescent="0.25">
      <c r="A57" s="160"/>
      <c r="B57" s="78"/>
      <c r="C57" s="15"/>
      <c r="D57" s="44"/>
      <c r="E57" s="44"/>
      <c r="F57" s="44"/>
      <c r="G57" s="44"/>
      <c r="I57" s="16"/>
      <c r="J57" s="16"/>
      <c r="K57" s="16"/>
      <c r="L57" s="16"/>
      <c r="N57" s="4"/>
      <c r="O57" s="4"/>
      <c r="P57" s="17"/>
      <c r="R57" s="4"/>
      <c r="S57" s="4"/>
      <c r="T57" s="4"/>
      <c r="U57" s="4"/>
      <c r="V57" s="6"/>
      <c r="W57" s="7"/>
      <c r="X57" s="7"/>
      <c r="Y57" s="1"/>
      <c r="Z57"/>
    </row>
    <row r="58" spans="1:26" ht="15" customHeight="1" x14ac:dyDescent="0.25">
      <c r="A58" s="160"/>
      <c r="B58" s="78"/>
      <c r="C58" s="15"/>
      <c r="D58" s="44"/>
      <c r="E58" s="44"/>
      <c r="F58" s="44"/>
      <c r="G58" s="44"/>
      <c r="I58" s="16"/>
      <c r="J58" s="16"/>
      <c r="K58" s="16"/>
      <c r="L58" s="16"/>
      <c r="N58" s="4"/>
      <c r="O58" s="4"/>
      <c r="P58" s="17"/>
      <c r="R58" s="4"/>
      <c r="S58" s="4"/>
      <c r="T58" s="4"/>
      <c r="U58" s="4"/>
      <c r="V58" s="6"/>
      <c r="W58" s="7"/>
      <c r="X58" s="7"/>
      <c r="Y58" s="1"/>
      <c r="Z58"/>
    </row>
    <row r="59" spans="1:26" ht="15" customHeight="1" x14ac:dyDescent="0.25">
      <c r="A59" s="160"/>
      <c r="B59" s="78"/>
      <c r="C59" s="15"/>
      <c r="D59" s="44"/>
      <c r="E59" s="44"/>
      <c r="F59" s="44"/>
      <c r="G59" s="44"/>
      <c r="I59" s="16"/>
      <c r="J59" s="16"/>
      <c r="K59" s="16"/>
      <c r="L59" s="16"/>
      <c r="N59" s="4"/>
      <c r="O59" s="4"/>
      <c r="P59" s="17"/>
      <c r="R59" s="4"/>
      <c r="S59" s="4"/>
      <c r="T59" s="4"/>
      <c r="U59" s="4"/>
      <c r="V59" s="6"/>
      <c r="W59" s="7"/>
      <c r="X59" s="7"/>
      <c r="Y59" s="1"/>
      <c r="Z59"/>
    </row>
    <row r="60" spans="1:26" ht="15" customHeight="1" x14ac:dyDescent="0.25">
      <c r="A60" s="160"/>
      <c r="B60" s="78"/>
      <c r="C60" s="15"/>
      <c r="D60" s="44"/>
      <c r="E60" s="44"/>
      <c r="F60" s="44"/>
      <c r="G60" s="44"/>
      <c r="I60" s="16"/>
      <c r="J60" s="16"/>
      <c r="K60" s="16"/>
      <c r="L60" s="16"/>
      <c r="N60" s="4"/>
      <c r="O60" s="4"/>
      <c r="P60" s="17"/>
      <c r="R60" s="4"/>
      <c r="S60" s="4"/>
      <c r="T60" s="4"/>
      <c r="U60" s="4"/>
      <c r="V60" s="6"/>
      <c r="W60" s="7"/>
      <c r="X60" s="7"/>
      <c r="Y60" s="1"/>
      <c r="Z60"/>
    </row>
    <row r="61" spans="1:26" ht="15" customHeight="1" x14ac:dyDescent="0.25">
      <c r="A61" s="160"/>
      <c r="B61" s="78"/>
      <c r="C61" s="15"/>
      <c r="D61" s="44"/>
      <c r="E61" s="44"/>
      <c r="F61" s="44"/>
      <c r="G61" s="44"/>
      <c r="I61" s="16"/>
      <c r="J61" s="16"/>
      <c r="K61" s="16"/>
      <c r="L61" s="16"/>
      <c r="N61" s="4"/>
      <c r="O61" s="4"/>
      <c r="P61" s="17"/>
      <c r="R61" s="4"/>
      <c r="S61" s="4"/>
      <c r="T61" s="4"/>
      <c r="U61" s="4"/>
      <c r="V61" s="6"/>
      <c r="W61" s="7"/>
      <c r="X61" s="7"/>
      <c r="Y61" s="1"/>
      <c r="Z61"/>
    </row>
    <row r="62" spans="1:26" ht="15" customHeight="1" x14ac:dyDescent="0.25">
      <c r="A62" s="160"/>
      <c r="B62" s="78"/>
      <c r="C62" s="15"/>
      <c r="D62" s="44"/>
      <c r="E62" s="44"/>
      <c r="F62" s="44"/>
      <c r="G62" s="44"/>
      <c r="I62" s="16"/>
      <c r="J62" s="16"/>
      <c r="K62" s="16"/>
      <c r="L62" s="16"/>
      <c r="N62" s="4"/>
      <c r="O62" s="4"/>
      <c r="P62" s="17"/>
      <c r="R62" s="4"/>
      <c r="S62" s="4"/>
      <c r="T62" s="4"/>
      <c r="U62" s="4"/>
      <c r="V62" s="6"/>
      <c r="W62" s="7"/>
      <c r="X62" s="7"/>
      <c r="Y62" s="1"/>
      <c r="Z62"/>
    </row>
    <row r="63" spans="1:26" ht="15" customHeight="1" x14ac:dyDescent="0.25">
      <c r="A63" s="160"/>
      <c r="B63" s="78"/>
      <c r="C63" s="15"/>
      <c r="D63" s="44"/>
      <c r="E63" s="44"/>
      <c r="F63" s="44"/>
      <c r="G63" s="44"/>
      <c r="I63" s="16"/>
      <c r="J63" s="16"/>
      <c r="K63" s="16"/>
      <c r="L63" s="16"/>
      <c r="N63" s="4"/>
      <c r="O63" s="4"/>
      <c r="P63" s="17"/>
      <c r="R63" s="4"/>
      <c r="S63" s="4"/>
      <c r="T63" s="4"/>
      <c r="U63" s="4"/>
      <c r="V63" s="6"/>
      <c r="W63" s="7"/>
      <c r="X63" s="7"/>
      <c r="Y63" s="1"/>
      <c r="Z63"/>
    </row>
    <row r="64" spans="1:26" ht="15" customHeight="1" x14ac:dyDescent="0.25">
      <c r="A64" s="160"/>
      <c r="B64" s="78"/>
      <c r="C64" s="15"/>
      <c r="D64" s="44"/>
      <c r="E64" s="44"/>
      <c r="F64" s="44"/>
      <c r="G64" s="44"/>
      <c r="I64" s="16"/>
      <c r="J64" s="16"/>
      <c r="K64" s="16"/>
      <c r="L64" s="16"/>
      <c r="N64" s="4"/>
      <c r="O64" s="4"/>
      <c r="P64" s="17"/>
      <c r="R64" s="4"/>
      <c r="S64" s="4"/>
      <c r="T64" s="4"/>
      <c r="U64" s="4"/>
      <c r="V64" s="6"/>
      <c r="W64" s="7"/>
      <c r="X64" s="7"/>
      <c r="Y64" s="1"/>
      <c r="Z64"/>
    </row>
    <row r="65" spans="1:26" ht="15" customHeight="1" x14ac:dyDescent="0.25">
      <c r="A65" s="160"/>
      <c r="B65" s="78"/>
      <c r="C65" s="15"/>
      <c r="D65" s="44"/>
      <c r="E65" s="44"/>
      <c r="F65" s="44"/>
      <c r="G65" s="44"/>
      <c r="I65" s="16"/>
      <c r="J65" s="16"/>
      <c r="K65" s="16"/>
      <c r="L65" s="16"/>
      <c r="N65" s="4"/>
      <c r="O65" s="4"/>
      <c r="P65" s="17"/>
      <c r="R65" s="4"/>
      <c r="S65" s="4"/>
      <c r="T65" s="4"/>
      <c r="U65" s="4"/>
      <c r="V65" s="6"/>
      <c r="W65" s="7"/>
      <c r="X65" s="7"/>
      <c r="Y65" s="1"/>
      <c r="Z65"/>
    </row>
    <row r="66" spans="1:26" ht="15" customHeight="1" x14ac:dyDescent="0.25">
      <c r="A66" s="160"/>
      <c r="B66" s="78"/>
      <c r="C66" s="15"/>
      <c r="D66" s="44"/>
      <c r="E66" s="44"/>
      <c r="F66" s="44"/>
      <c r="G66" s="44"/>
      <c r="I66" s="16"/>
      <c r="J66" s="16"/>
      <c r="K66" s="16"/>
      <c r="L66" s="16"/>
      <c r="N66" s="4"/>
      <c r="O66" s="4"/>
      <c r="P66" s="17"/>
      <c r="R66" s="4"/>
      <c r="S66" s="4"/>
      <c r="T66" s="4"/>
      <c r="U66" s="4"/>
      <c r="V66" s="6"/>
      <c r="W66" s="7"/>
      <c r="X66" s="7"/>
      <c r="Y66" s="1"/>
      <c r="Z66"/>
    </row>
    <row r="67" spans="1:26" ht="15" customHeight="1" x14ac:dyDescent="0.25">
      <c r="A67" s="160"/>
      <c r="B67" s="78"/>
      <c r="C67" s="15"/>
      <c r="D67" s="44"/>
      <c r="E67" s="44"/>
      <c r="F67" s="44"/>
      <c r="G67" s="44"/>
      <c r="I67" s="16"/>
      <c r="J67" s="16"/>
      <c r="K67" s="16"/>
      <c r="L67" s="16"/>
      <c r="N67" s="4"/>
      <c r="O67" s="4"/>
      <c r="P67" s="17"/>
      <c r="R67" s="4"/>
      <c r="S67" s="4"/>
      <c r="T67" s="4"/>
      <c r="U67" s="4"/>
      <c r="V67" s="6"/>
      <c r="W67" s="7"/>
      <c r="X67" s="7"/>
      <c r="Y67" s="1"/>
      <c r="Z67"/>
    </row>
    <row r="68" spans="1:26" ht="15" customHeight="1" x14ac:dyDescent="0.25">
      <c r="A68" s="160"/>
      <c r="B68" s="78"/>
      <c r="C68" s="15"/>
      <c r="D68" s="44"/>
      <c r="E68" s="44"/>
      <c r="F68" s="44"/>
      <c r="G68" s="44"/>
      <c r="I68" s="16"/>
      <c r="J68" s="16"/>
      <c r="K68" s="16"/>
      <c r="L68" s="16"/>
      <c r="N68" s="4"/>
      <c r="O68" s="4"/>
      <c r="P68" s="17"/>
      <c r="R68" s="4"/>
      <c r="S68" s="4"/>
      <c r="T68" s="4"/>
      <c r="U68" s="4"/>
      <c r="V68" s="6"/>
      <c r="W68" s="7"/>
      <c r="X68" s="7"/>
      <c r="Y68" s="1"/>
      <c r="Z68"/>
    </row>
    <row r="69" spans="1:26" ht="15" customHeight="1" x14ac:dyDescent="0.25">
      <c r="A69" s="27" t="s">
        <v>16</v>
      </c>
      <c r="B69" s="176" t="s">
        <v>145</v>
      </c>
      <c r="C69" s="164"/>
      <c r="D69" s="165"/>
      <c r="E69" s="165"/>
      <c r="F69" s="165"/>
      <c r="G69" s="165"/>
      <c r="H69" s="10"/>
      <c r="I69" s="165"/>
      <c r="J69" s="165"/>
      <c r="K69" s="165"/>
      <c r="L69" s="165"/>
      <c r="M69" s="10"/>
      <c r="N69" s="11"/>
      <c r="O69" s="11"/>
      <c r="P69" s="11"/>
      <c r="Q69" s="10"/>
      <c r="R69" s="11"/>
      <c r="S69" s="11"/>
      <c r="T69" s="11"/>
      <c r="U69" s="11"/>
      <c r="V69" s="11"/>
      <c r="W69" s="11"/>
      <c r="X69" s="11"/>
      <c r="Y69" s="10"/>
      <c r="Z69"/>
    </row>
    <row r="70" spans="1:26" x14ac:dyDescent="0.25">
      <c r="A70" s="175" t="s">
        <v>16</v>
      </c>
      <c r="B70" s="58"/>
      <c r="C70" s="20"/>
      <c r="D70" s="21"/>
      <c r="E70" s="21"/>
      <c r="F70" s="21"/>
      <c r="G70" s="21"/>
      <c r="H70" s="22"/>
      <c r="I70" s="21"/>
      <c r="J70" s="21"/>
      <c r="K70" s="21"/>
      <c r="L70" s="21"/>
      <c r="M70" s="22"/>
      <c r="N70" s="26"/>
      <c r="O70" s="26"/>
      <c r="P70" s="26"/>
      <c r="Q70" s="22"/>
      <c r="R70" s="26"/>
      <c r="S70" s="26"/>
      <c r="T70" s="26"/>
      <c r="U70" s="26"/>
      <c r="V70" s="26"/>
      <c r="W70" s="26"/>
      <c r="X70" s="25"/>
      <c r="Y70" s="22"/>
      <c r="Z70"/>
    </row>
    <row r="71" spans="1:26" ht="15" customHeight="1" x14ac:dyDescent="0.25">
      <c r="A71" s="167"/>
      <c r="B71" s="78"/>
      <c r="C71" s="15"/>
      <c r="D71" s="16"/>
      <c r="E71" s="16"/>
      <c r="F71" s="16"/>
      <c r="G71" s="16"/>
      <c r="I71" s="16"/>
      <c r="J71" s="16"/>
      <c r="K71" s="16"/>
      <c r="L71" s="16"/>
      <c r="N71" s="4"/>
      <c r="O71" s="4"/>
      <c r="P71" s="17"/>
      <c r="Q71" s="22"/>
      <c r="R71" s="4"/>
      <c r="S71" s="4"/>
      <c r="T71" s="4"/>
      <c r="U71" s="4"/>
      <c r="V71" s="6"/>
      <c r="W71" s="7"/>
      <c r="X71" s="7"/>
      <c r="Y71" s="1"/>
      <c r="Z71"/>
    </row>
    <row r="72" spans="1:26" x14ac:dyDescent="0.25">
      <c r="A72" s="167"/>
      <c r="B72" s="78"/>
      <c r="C72" s="15"/>
      <c r="D72" s="16"/>
      <c r="E72" s="16"/>
      <c r="F72" s="16"/>
      <c r="G72" s="16"/>
      <c r="I72" s="16"/>
      <c r="J72" s="16"/>
      <c r="K72" s="16"/>
      <c r="L72" s="16"/>
      <c r="N72" s="4"/>
      <c r="O72" s="4"/>
      <c r="P72" s="17"/>
      <c r="Q72" s="22"/>
      <c r="R72" s="4"/>
      <c r="S72" s="4"/>
      <c r="T72" s="4"/>
      <c r="U72" s="4"/>
      <c r="V72" s="6"/>
      <c r="W72" s="7"/>
      <c r="X72" s="7"/>
      <c r="Y72" s="1"/>
      <c r="Z72"/>
    </row>
    <row r="73" spans="1:26" x14ac:dyDescent="0.25">
      <c r="A73" s="167"/>
      <c r="B73" s="78"/>
      <c r="C73" s="15"/>
      <c r="D73" s="16"/>
      <c r="E73" s="16"/>
      <c r="F73" s="16"/>
      <c r="G73" s="16"/>
      <c r="I73" s="16"/>
      <c r="J73" s="16"/>
      <c r="K73" s="16"/>
      <c r="L73" s="16"/>
      <c r="N73" s="4"/>
      <c r="O73" s="4"/>
      <c r="P73" s="17"/>
      <c r="Q73" s="22"/>
      <c r="R73" s="4"/>
      <c r="S73" s="4"/>
      <c r="T73" s="4"/>
      <c r="U73" s="4"/>
      <c r="V73" s="6"/>
      <c r="W73" s="7"/>
      <c r="X73" s="7"/>
      <c r="Y73" s="1"/>
      <c r="Z73"/>
    </row>
    <row r="74" spans="1:26" x14ac:dyDescent="0.25">
      <c r="A74" s="167"/>
      <c r="B74" s="78"/>
      <c r="C74" s="15"/>
      <c r="D74" s="16"/>
      <c r="E74" s="16"/>
      <c r="F74" s="16"/>
      <c r="G74" s="16"/>
      <c r="I74" s="16"/>
      <c r="J74" s="16"/>
      <c r="K74" s="16"/>
      <c r="L74" s="16"/>
      <c r="N74" s="4"/>
      <c r="O74" s="4"/>
      <c r="P74" s="17"/>
      <c r="Q74" s="22"/>
      <c r="R74" s="4"/>
      <c r="S74" s="4"/>
      <c r="T74" s="4"/>
      <c r="U74" s="4"/>
      <c r="V74" s="6"/>
      <c r="W74" s="7"/>
      <c r="X74" s="7"/>
      <c r="Y74" s="1"/>
      <c r="Z74"/>
    </row>
    <row r="75" spans="1:26" x14ac:dyDescent="0.25">
      <c r="A75" s="167"/>
      <c r="B75" s="78"/>
      <c r="C75" s="15"/>
      <c r="D75" s="16"/>
      <c r="E75" s="16"/>
      <c r="F75" s="16"/>
      <c r="G75" s="16"/>
      <c r="I75" s="16"/>
      <c r="J75" s="16"/>
      <c r="K75" s="16"/>
      <c r="L75" s="16"/>
      <c r="N75" s="4"/>
      <c r="O75" s="4"/>
      <c r="P75" s="17"/>
      <c r="Q75" s="22"/>
      <c r="R75" s="4"/>
      <c r="S75" s="4"/>
      <c r="T75" s="4"/>
      <c r="U75" s="4"/>
      <c r="V75" s="6"/>
      <c r="W75" s="7"/>
      <c r="X75" s="7"/>
      <c r="Y75" s="1"/>
      <c r="Z75"/>
    </row>
    <row r="76" spans="1:26" x14ac:dyDescent="0.25">
      <c r="A76" s="167"/>
      <c r="B76" s="78"/>
      <c r="C76" s="15"/>
      <c r="D76" s="16"/>
      <c r="E76" s="16"/>
      <c r="F76" s="16"/>
      <c r="G76" s="16"/>
      <c r="I76" s="16"/>
      <c r="J76" s="16"/>
      <c r="K76" s="16"/>
      <c r="L76" s="16"/>
      <c r="N76" s="4"/>
      <c r="O76" s="4"/>
      <c r="P76" s="17"/>
      <c r="Q76" s="22"/>
      <c r="R76" s="4"/>
      <c r="S76" s="4"/>
      <c r="T76" s="4"/>
      <c r="U76" s="4"/>
      <c r="V76" s="6"/>
      <c r="W76" s="7"/>
      <c r="X76" s="7"/>
      <c r="Y76" s="1"/>
      <c r="Z76"/>
    </row>
    <row r="77" spans="1:26" x14ac:dyDescent="0.25">
      <c r="A77" s="167"/>
      <c r="B77" s="78"/>
      <c r="C77" s="15"/>
      <c r="D77" s="16"/>
      <c r="E77" s="16"/>
      <c r="F77" s="16"/>
      <c r="G77" s="16"/>
      <c r="I77" s="16"/>
      <c r="J77" s="16"/>
      <c r="K77" s="16"/>
      <c r="L77" s="16"/>
      <c r="N77" s="4"/>
      <c r="O77" s="4"/>
      <c r="P77" s="17"/>
      <c r="Q77" s="22"/>
      <c r="R77" s="4"/>
      <c r="S77" s="4"/>
      <c r="T77" s="4"/>
      <c r="U77" s="4"/>
      <c r="V77" s="6"/>
      <c r="W77" s="7"/>
      <c r="X77" s="7"/>
      <c r="Y77" s="1"/>
      <c r="Z77"/>
    </row>
    <row r="78" spans="1:26" x14ac:dyDescent="0.25">
      <c r="A78" s="167"/>
      <c r="B78" s="78"/>
      <c r="C78" s="15"/>
      <c r="D78" s="16"/>
      <c r="E78" s="16"/>
      <c r="F78" s="16"/>
      <c r="G78" s="16"/>
      <c r="I78" s="16"/>
      <c r="J78" s="16"/>
      <c r="K78" s="16"/>
      <c r="L78" s="16"/>
      <c r="N78" s="4"/>
      <c r="O78" s="4"/>
      <c r="P78" s="17"/>
      <c r="Q78" s="22"/>
      <c r="R78" s="4"/>
      <c r="S78" s="4"/>
      <c r="T78" s="4"/>
      <c r="U78" s="4"/>
      <c r="V78" s="6"/>
      <c r="W78" s="7"/>
      <c r="X78" s="7"/>
      <c r="Y78" s="1"/>
      <c r="Z78"/>
    </row>
    <row r="79" spans="1:26" x14ac:dyDescent="0.25">
      <c r="A79" s="167"/>
      <c r="B79" s="78"/>
      <c r="C79" s="15"/>
      <c r="D79" s="16"/>
      <c r="E79" s="16"/>
      <c r="F79" s="16"/>
      <c r="G79" s="16"/>
      <c r="I79" s="16"/>
      <c r="J79" s="16"/>
      <c r="K79" s="16"/>
      <c r="L79" s="16"/>
      <c r="N79" s="4"/>
      <c r="O79" s="4"/>
      <c r="P79" s="4"/>
      <c r="R79" s="4"/>
      <c r="S79" s="4"/>
      <c r="T79" s="4"/>
      <c r="U79" s="4"/>
      <c r="V79" s="6"/>
      <c r="W79" s="8"/>
      <c r="X79" s="8"/>
      <c r="Y79" s="1"/>
      <c r="Z79"/>
    </row>
    <row r="80" spans="1:26" x14ac:dyDescent="0.25">
      <c r="A80" s="167"/>
      <c r="B80" s="78"/>
      <c r="C80" s="15"/>
      <c r="D80" s="16"/>
      <c r="E80" s="16"/>
      <c r="F80" s="16"/>
      <c r="G80" s="16"/>
      <c r="I80" s="16"/>
      <c r="J80" s="16"/>
      <c r="K80" s="16"/>
      <c r="L80" s="16"/>
      <c r="N80" s="4"/>
      <c r="O80" s="4"/>
      <c r="P80" s="17"/>
      <c r="Q80" s="22"/>
      <c r="R80" s="4"/>
      <c r="S80" s="4"/>
      <c r="T80" s="4"/>
      <c r="U80" s="4"/>
      <c r="V80" s="8"/>
      <c r="W80" s="7"/>
      <c r="X80" s="7"/>
      <c r="Y80" s="1"/>
      <c r="Z80"/>
    </row>
    <row r="81" spans="1:26" x14ac:dyDescent="0.25">
      <c r="A81" s="27" t="s">
        <v>16</v>
      </c>
      <c r="B81" s="176" t="s">
        <v>146</v>
      </c>
      <c r="C81" s="164"/>
      <c r="D81" s="165"/>
      <c r="E81" s="165"/>
      <c r="F81" s="165"/>
      <c r="G81" s="165"/>
      <c r="H81" s="10"/>
      <c r="I81" s="165"/>
      <c r="J81" s="165"/>
      <c r="K81" s="165"/>
      <c r="L81" s="165"/>
      <c r="M81" s="10"/>
      <c r="N81" s="11"/>
      <c r="O81" s="11"/>
      <c r="P81" s="11"/>
      <c r="Q81" s="10"/>
      <c r="R81" s="11"/>
      <c r="S81" s="11"/>
      <c r="T81" s="11"/>
      <c r="U81" s="11"/>
      <c r="V81" s="11"/>
      <c r="W81" s="11"/>
      <c r="X81" s="11"/>
      <c r="Y81" s="10"/>
      <c r="Z81"/>
    </row>
    <row r="82" spans="1:26" x14ac:dyDescent="0.25">
      <c r="A82" s="175" t="s">
        <v>16</v>
      </c>
      <c r="B82" s="58"/>
      <c r="C82" s="20"/>
      <c r="D82" s="21"/>
      <c r="E82" s="21"/>
      <c r="F82" s="21"/>
      <c r="G82" s="21"/>
      <c r="H82" s="22"/>
      <c r="I82" s="21"/>
      <c r="J82" s="21"/>
      <c r="K82" s="21"/>
      <c r="L82" s="21"/>
      <c r="M82" s="22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2"/>
      <c r="Z82"/>
    </row>
    <row r="83" spans="1:26" x14ac:dyDescent="0.25">
      <c r="A83" s="167"/>
      <c r="B83" s="55"/>
      <c r="C83" s="15"/>
      <c r="D83" s="16"/>
      <c r="E83" s="16"/>
      <c r="F83" s="16"/>
      <c r="G83" s="16"/>
      <c r="I83" s="16"/>
      <c r="J83" s="16"/>
      <c r="K83" s="16"/>
      <c r="L83" s="16"/>
      <c r="N83" s="4"/>
      <c r="O83" s="4"/>
      <c r="P83" s="17"/>
      <c r="R83" s="4"/>
      <c r="S83" s="4"/>
      <c r="T83" s="4"/>
      <c r="U83" s="4"/>
      <c r="V83" s="6"/>
      <c r="W83" s="7"/>
      <c r="X83" s="7"/>
      <c r="Y83" s="1"/>
      <c r="Z83"/>
    </row>
    <row r="84" spans="1:26" x14ac:dyDescent="0.25">
      <c r="A84" s="168"/>
      <c r="B84" s="78"/>
      <c r="C84" s="15"/>
      <c r="D84" s="16"/>
      <c r="E84" s="16"/>
      <c r="F84" s="16"/>
      <c r="G84" s="16"/>
      <c r="I84" s="16"/>
      <c r="J84" s="16"/>
      <c r="K84" s="16"/>
      <c r="L84" s="16"/>
      <c r="N84" s="4"/>
      <c r="O84" s="4"/>
      <c r="P84" s="17"/>
      <c r="R84" s="4"/>
      <c r="S84" s="4"/>
      <c r="T84" s="4"/>
      <c r="U84" s="4"/>
      <c r="V84" s="6"/>
      <c r="W84" s="7"/>
      <c r="X84" s="7"/>
      <c r="Y84" s="1"/>
      <c r="Z84"/>
    </row>
    <row r="85" spans="1:26" x14ac:dyDescent="0.25">
      <c r="A85" s="168"/>
      <c r="B85" s="78"/>
      <c r="C85" s="15"/>
      <c r="D85" s="16"/>
      <c r="E85" s="16"/>
      <c r="F85" s="16"/>
      <c r="G85" s="16"/>
      <c r="I85" s="16"/>
      <c r="J85" s="16"/>
      <c r="K85" s="16"/>
      <c r="L85" s="16"/>
      <c r="N85" s="4"/>
      <c r="O85" s="4"/>
      <c r="P85" s="17"/>
      <c r="R85" s="4"/>
      <c r="S85" s="4"/>
      <c r="T85" s="4"/>
      <c r="U85" s="4"/>
      <c r="V85" s="6"/>
      <c r="W85" s="7"/>
      <c r="X85" s="7"/>
      <c r="Y85" s="1"/>
      <c r="Z85"/>
    </row>
    <row r="86" spans="1:26" x14ac:dyDescent="0.25">
      <c r="A86" s="168"/>
      <c r="B86" s="78"/>
      <c r="C86" s="15"/>
      <c r="D86" s="16"/>
      <c r="E86" s="16"/>
      <c r="F86" s="16"/>
      <c r="G86" s="16"/>
      <c r="I86" s="16"/>
      <c r="J86" s="16"/>
      <c r="K86" s="16"/>
      <c r="L86" s="16"/>
      <c r="N86" s="4"/>
      <c r="O86" s="4"/>
      <c r="P86" s="17"/>
      <c r="R86" s="4"/>
      <c r="S86" s="4"/>
      <c r="T86" s="4"/>
      <c r="U86" s="4"/>
      <c r="V86" s="6"/>
      <c r="W86" s="7"/>
      <c r="X86" s="7"/>
      <c r="Y86" s="1"/>
      <c r="Z86"/>
    </row>
    <row r="87" spans="1:26" x14ac:dyDescent="0.25">
      <c r="A87" s="168"/>
      <c r="B87" s="78"/>
      <c r="C87" s="15"/>
      <c r="D87" s="16"/>
      <c r="E87" s="16"/>
      <c r="F87" s="16"/>
      <c r="G87" s="16"/>
      <c r="I87" s="16"/>
      <c r="J87" s="16"/>
      <c r="K87" s="16"/>
      <c r="L87" s="16"/>
      <c r="N87" s="4"/>
      <c r="O87" s="4"/>
      <c r="P87" s="17"/>
      <c r="R87" s="4"/>
      <c r="S87" s="4"/>
      <c r="T87" s="4"/>
      <c r="U87" s="4"/>
      <c r="V87" s="6"/>
      <c r="W87" s="7"/>
      <c r="X87" s="7"/>
      <c r="Y87" s="1"/>
      <c r="Z87"/>
    </row>
    <row r="88" spans="1:26" x14ac:dyDescent="0.25">
      <c r="A88" s="168"/>
      <c r="B88" s="78"/>
      <c r="C88" s="15"/>
      <c r="D88" s="16"/>
      <c r="E88" s="16"/>
      <c r="F88" s="16"/>
      <c r="G88" s="16"/>
      <c r="I88" s="16"/>
      <c r="J88" s="16"/>
      <c r="K88" s="16"/>
      <c r="L88" s="16"/>
      <c r="N88" s="4"/>
      <c r="O88" s="4"/>
      <c r="P88" s="17"/>
      <c r="R88" s="4"/>
      <c r="S88" s="4"/>
      <c r="T88" s="4"/>
      <c r="U88" s="4"/>
      <c r="V88" s="6"/>
      <c r="W88" s="7"/>
      <c r="X88" s="7"/>
      <c r="Y88" s="1"/>
      <c r="Z88"/>
    </row>
    <row r="89" spans="1:26" x14ac:dyDescent="0.25">
      <c r="A89" s="168"/>
      <c r="B89" s="78"/>
      <c r="C89" s="15"/>
      <c r="D89" s="16"/>
      <c r="E89" s="16"/>
      <c r="F89" s="16"/>
      <c r="G89" s="16"/>
      <c r="I89" s="16"/>
      <c r="J89" s="16"/>
      <c r="K89" s="16"/>
      <c r="L89" s="16"/>
      <c r="N89" s="4"/>
      <c r="O89" s="4"/>
      <c r="P89" s="17"/>
      <c r="R89" s="4"/>
      <c r="S89" s="4"/>
      <c r="T89" s="4"/>
      <c r="U89" s="4"/>
      <c r="V89" s="6"/>
      <c r="W89" s="7"/>
      <c r="X89" s="7"/>
      <c r="Y89" s="1"/>
      <c r="Z89"/>
    </row>
    <row r="90" spans="1:26" x14ac:dyDescent="0.25">
      <c r="A90" s="168"/>
      <c r="B90" s="78"/>
      <c r="C90" s="15"/>
      <c r="D90" s="16"/>
      <c r="E90" s="16"/>
      <c r="F90" s="16"/>
      <c r="G90" s="16"/>
      <c r="I90" s="16"/>
      <c r="J90" s="16"/>
      <c r="K90" s="16"/>
      <c r="L90" s="16"/>
      <c r="N90" s="4"/>
      <c r="O90" s="4"/>
      <c r="P90" s="17"/>
      <c r="R90" s="4"/>
      <c r="S90" s="4"/>
      <c r="T90" s="4"/>
      <c r="U90" s="4"/>
      <c r="V90" s="6"/>
      <c r="W90" s="7"/>
      <c r="X90" s="7"/>
      <c r="Y90" s="1"/>
      <c r="Z90"/>
    </row>
    <row r="91" spans="1:26" x14ac:dyDescent="0.25">
      <c r="A91" s="168"/>
      <c r="B91" s="78"/>
      <c r="C91" s="15"/>
      <c r="D91" s="16"/>
      <c r="E91" s="16"/>
      <c r="F91" s="16"/>
      <c r="G91" s="16"/>
      <c r="I91" s="16"/>
      <c r="J91" s="16"/>
      <c r="K91" s="16"/>
      <c r="L91" s="16"/>
      <c r="N91" s="4"/>
      <c r="O91" s="4"/>
      <c r="P91" s="17"/>
      <c r="R91" s="4"/>
      <c r="S91" s="4"/>
      <c r="T91" s="4"/>
      <c r="U91" s="4"/>
      <c r="V91" s="6"/>
      <c r="W91" s="7"/>
      <c r="X91" s="7"/>
      <c r="Y91" s="1"/>
      <c r="Z91"/>
    </row>
    <row r="92" spans="1:26" x14ac:dyDescent="0.25">
      <c r="A92" s="168"/>
      <c r="B92" s="78"/>
      <c r="C92" s="15"/>
      <c r="D92" s="16"/>
      <c r="E92" s="16"/>
      <c r="F92" s="16"/>
      <c r="G92" s="16"/>
      <c r="I92" s="16"/>
      <c r="J92" s="16"/>
      <c r="K92" s="16"/>
      <c r="L92" s="16"/>
      <c r="N92" s="4"/>
      <c r="O92" s="4"/>
      <c r="P92" s="17"/>
      <c r="R92" s="4"/>
      <c r="S92" s="4"/>
      <c r="T92" s="4"/>
      <c r="U92" s="4"/>
      <c r="V92" s="6"/>
      <c r="W92" s="7"/>
      <c r="X92" s="7"/>
      <c r="Y92" s="1"/>
      <c r="Z92"/>
    </row>
    <row r="93" spans="1:26" x14ac:dyDescent="0.25">
      <c r="A93" s="168"/>
      <c r="B93" s="78"/>
      <c r="C93" s="15"/>
      <c r="D93" s="16"/>
      <c r="E93" s="16"/>
      <c r="F93" s="16"/>
      <c r="G93" s="16"/>
      <c r="I93" s="16"/>
      <c r="J93" s="16"/>
      <c r="K93" s="16"/>
      <c r="L93" s="16"/>
      <c r="N93" s="4"/>
      <c r="O93" s="4"/>
      <c r="P93" s="17"/>
      <c r="R93" s="4"/>
      <c r="S93" s="4"/>
      <c r="T93" s="4"/>
      <c r="U93" s="4"/>
      <c r="V93" s="6"/>
      <c r="W93" s="7"/>
      <c r="X93" s="7"/>
      <c r="Y93" s="1"/>
      <c r="Z93"/>
    </row>
    <row r="94" spans="1:26" x14ac:dyDescent="0.25">
      <c r="A94" s="168"/>
      <c r="B94" s="78"/>
      <c r="C94" s="15"/>
      <c r="D94" s="16"/>
      <c r="E94" s="16"/>
      <c r="F94" s="16"/>
      <c r="G94" s="16"/>
      <c r="I94" s="16"/>
      <c r="J94" s="16"/>
      <c r="K94" s="16"/>
      <c r="L94" s="16"/>
      <c r="N94" s="4"/>
      <c r="O94" s="4"/>
      <c r="P94" s="17"/>
      <c r="R94" s="4"/>
      <c r="S94" s="4"/>
      <c r="T94" s="4"/>
      <c r="U94" s="4"/>
      <c r="V94" s="6"/>
      <c r="W94" s="7"/>
      <c r="X94" s="7"/>
      <c r="Y94" s="1"/>
      <c r="Z94"/>
    </row>
    <row r="95" spans="1:26" x14ac:dyDescent="0.25">
      <c r="A95" s="168"/>
      <c r="B95" s="78"/>
      <c r="C95" s="15"/>
      <c r="D95" s="44"/>
      <c r="E95" s="44"/>
      <c r="F95" s="44"/>
      <c r="G95" s="16"/>
      <c r="I95" s="16"/>
      <c r="J95" s="16"/>
      <c r="K95" s="16"/>
      <c r="L95" s="16"/>
      <c r="N95" s="4"/>
      <c r="O95" s="4"/>
      <c r="P95" s="4"/>
      <c r="R95" s="4"/>
      <c r="S95" s="4"/>
      <c r="T95" s="4"/>
      <c r="U95" s="4"/>
      <c r="V95" s="6"/>
      <c r="W95" s="8"/>
      <c r="X95" s="8"/>
      <c r="Y95" s="1"/>
      <c r="Z95"/>
    </row>
    <row r="96" spans="1:26" x14ac:dyDescent="0.25">
      <c r="A96" s="168"/>
      <c r="B96" s="78"/>
      <c r="C96" s="15"/>
      <c r="D96" s="44"/>
      <c r="E96" s="44"/>
      <c r="F96" s="44"/>
      <c r="G96" s="16"/>
      <c r="I96" s="16"/>
      <c r="J96" s="16"/>
      <c r="K96" s="16"/>
      <c r="L96" s="16"/>
      <c r="N96" s="4"/>
      <c r="O96" s="4"/>
      <c r="P96" s="17"/>
      <c r="R96" s="4"/>
      <c r="S96" s="4"/>
      <c r="T96" s="4"/>
      <c r="U96" s="4"/>
      <c r="V96" s="8"/>
      <c r="W96" s="7"/>
      <c r="X96" s="7"/>
      <c r="Y96" s="1"/>
      <c r="Z96"/>
    </row>
    <row r="97" spans="1:26" x14ac:dyDescent="0.25">
      <c r="A97" s="27" t="s">
        <v>16</v>
      </c>
      <c r="B97" s="176" t="s">
        <v>147</v>
      </c>
      <c r="C97" s="164"/>
      <c r="D97" s="165"/>
      <c r="E97" s="165"/>
      <c r="F97" s="165"/>
      <c r="G97" s="165"/>
      <c r="H97" s="10"/>
      <c r="I97" s="165"/>
      <c r="J97" s="165"/>
      <c r="K97" s="165"/>
      <c r="L97" s="165"/>
      <c r="M97" s="10"/>
      <c r="N97" s="11"/>
      <c r="O97" s="11"/>
      <c r="P97" s="11"/>
      <c r="Q97" s="10"/>
      <c r="R97" s="11"/>
      <c r="S97" s="11"/>
      <c r="T97" s="11"/>
      <c r="U97" s="11"/>
      <c r="V97" s="11"/>
      <c r="W97" s="11"/>
      <c r="X97" s="11"/>
      <c r="Y97" s="10"/>
      <c r="Z97"/>
    </row>
    <row r="98" spans="1:26" x14ac:dyDescent="0.25">
      <c r="A98" s="175" t="s">
        <v>16</v>
      </c>
      <c r="B98" s="58"/>
      <c r="C98" s="20"/>
      <c r="D98" s="21"/>
      <c r="E98" s="21"/>
      <c r="F98" s="21"/>
      <c r="G98" s="21"/>
      <c r="H98" s="22"/>
      <c r="I98" s="21"/>
      <c r="J98" s="21"/>
      <c r="K98" s="21"/>
      <c r="L98" s="21"/>
      <c r="M98" s="22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2"/>
      <c r="Z98"/>
    </row>
    <row r="99" spans="1:26" x14ac:dyDescent="0.25">
      <c r="A99" s="169"/>
      <c r="B99" s="78"/>
      <c r="C99" s="15"/>
      <c r="D99" s="16"/>
      <c r="E99" s="16"/>
      <c r="F99" s="16"/>
      <c r="G99" s="16"/>
      <c r="I99" s="16"/>
      <c r="J99" s="16"/>
      <c r="K99" s="16"/>
      <c r="L99" s="16"/>
      <c r="N99" s="4"/>
      <c r="O99" s="4"/>
      <c r="P99" s="4"/>
      <c r="R99" s="4"/>
      <c r="S99" s="4"/>
      <c r="T99" s="4"/>
      <c r="U99" s="4"/>
      <c r="V99" s="8"/>
      <c r="W99" s="7"/>
      <c r="X99" s="7"/>
      <c r="Y99" s="1"/>
      <c r="Z99"/>
    </row>
    <row r="100" spans="1:26" x14ac:dyDescent="0.25">
      <c r="A100" s="169"/>
      <c r="B100" s="78"/>
      <c r="C100" s="15"/>
      <c r="D100" s="16"/>
      <c r="E100" s="16"/>
      <c r="F100" s="16"/>
      <c r="G100" s="16"/>
      <c r="I100" s="16"/>
      <c r="J100" s="16"/>
      <c r="K100" s="16"/>
      <c r="L100" s="16"/>
      <c r="N100" s="4"/>
      <c r="O100" s="4"/>
      <c r="P100" s="4"/>
      <c r="R100" s="4"/>
      <c r="S100" s="4"/>
      <c r="T100" s="4"/>
      <c r="U100" s="4"/>
      <c r="V100" s="8"/>
      <c r="W100" s="7"/>
      <c r="X100" s="7"/>
      <c r="Y100" s="1"/>
      <c r="Z100"/>
    </row>
    <row r="101" spans="1:26" x14ac:dyDescent="0.25">
      <c r="A101" s="169"/>
      <c r="B101" s="78"/>
      <c r="C101" s="15"/>
      <c r="D101" s="16"/>
      <c r="E101" s="16"/>
      <c r="F101" s="16"/>
      <c r="G101" s="16"/>
      <c r="I101" s="16"/>
      <c r="J101" s="16"/>
      <c r="K101" s="16"/>
      <c r="L101" s="16"/>
      <c r="N101" s="4"/>
      <c r="O101" s="4"/>
      <c r="P101" s="4"/>
      <c r="R101" s="4"/>
      <c r="S101" s="4"/>
      <c r="T101" s="4"/>
      <c r="U101" s="4"/>
      <c r="V101" s="8"/>
      <c r="W101" s="7"/>
      <c r="X101" s="7"/>
      <c r="Y101" s="1"/>
      <c r="Z101"/>
    </row>
    <row r="102" spans="1:26" x14ac:dyDescent="0.25">
      <c r="A102" s="169"/>
      <c r="B102" s="78"/>
      <c r="C102" s="15"/>
      <c r="D102" s="16"/>
      <c r="E102" s="16"/>
      <c r="F102" s="16"/>
      <c r="G102" s="16"/>
      <c r="I102" s="16"/>
      <c r="J102" s="16"/>
      <c r="K102" s="16"/>
      <c r="L102" s="16"/>
      <c r="N102" s="4"/>
      <c r="O102" s="4"/>
      <c r="P102" s="4"/>
      <c r="R102" s="4"/>
      <c r="S102" s="4"/>
      <c r="T102" s="4"/>
      <c r="U102" s="4"/>
      <c r="V102" s="8"/>
      <c r="W102" s="7"/>
      <c r="X102" s="7"/>
      <c r="Y102" s="1"/>
      <c r="Z102"/>
    </row>
    <row r="103" spans="1:26" x14ac:dyDescent="0.25">
      <c r="A103" s="169"/>
      <c r="B103" s="78"/>
      <c r="C103" s="15"/>
      <c r="D103" s="16"/>
      <c r="E103" s="16"/>
      <c r="F103" s="16"/>
      <c r="G103" s="16"/>
      <c r="I103" s="16"/>
      <c r="J103" s="16"/>
      <c r="K103" s="16"/>
      <c r="L103" s="16"/>
      <c r="N103" s="4"/>
      <c r="O103" s="4"/>
      <c r="P103" s="4"/>
      <c r="R103" s="4"/>
      <c r="S103" s="4"/>
      <c r="T103" s="4"/>
      <c r="U103" s="4"/>
      <c r="V103" s="8"/>
      <c r="W103" s="7"/>
      <c r="X103" s="7"/>
      <c r="Y103" s="1"/>
      <c r="Z103"/>
    </row>
    <row r="104" spans="1:26" x14ac:dyDescent="0.25">
      <c r="A104" s="169"/>
      <c r="B104" s="78"/>
      <c r="C104" s="15"/>
      <c r="D104" s="16"/>
      <c r="E104" s="16"/>
      <c r="F104" s="16"/>
      <c r="G104" s="16"/>
      <c r="I104" s="16"/>
      <c r="J104" s="16"/>
      <c r="K104" s="16"/>
      <c r="L104" s="16"/>
      <c r="N104" s="4"/>
      <c r="O104" s="4"/>
      <c r="P104" s="4"/>
      <c r="R104" s="4"/>
      <c r="S104" s="4"/>
      <c r="T104" s="4"/>
      <c r="U104" s="4"/>
      <c r="V104" s="8"/>
      <c r="W104" s="7"/>
      <c r="X104" s="7"/>
      <c r="Y104" s="1"/>
      <c r="Z104"/>
    </row>
    <row r="105" spans="1:26" x14ac:dyDescent="0.25">
      <c r="A105" s="169"/>
      <c r="B105" s="78"/>
      <c r="C105" s="15"/>
      <c r="D105" s="16"/>
      <c r="E105" s="16"/>
      <c r="F105" s="16"/>
      <c r="G105" s="16"/>
      <c r="I105" s="16"/>
      <c r="J105" s="16"/>
      <c r="K105" s="16"/>
      <c r="L105" s="16"/>
      <c r="N105" s="4"/>
      <c r="O105" s="4"/>
      <c r="P105" s="4"/>
      <c r="R105" s="4"/>
      <c r="S105" s="4"/>
      <c r="T105" s="4"/>
      <c r="U105" s="4"/>
      <c r="V105" s="8"/>
      <c r="W105" s="7"/>
      <c r="X105" s="7"/>
      <c r="Y105" s="1"/>
      <c r="Z105"/>
    </row>
    <row r="106" spans="1:26" x14ac:dyDescent="0.25">
      <c r="A106" s="169"/>
      <c r="B106" s="78"/>
      <c r="C106" s="15"/>
      <c r="D106" s="16"/>
      <c r="E106" s="16"/>
      <c r="F106" s="16"/>
      <c r="G106" s="16"/>
      <c r="I106" s="16"/>
      <c r="J106" s="16"/>
      <c r="K106" s="16"/>
      <c r="L106" s="16"/>
      <c r="N106" s="4"/>
      <c r="O106" s="4"/>
      <c r="P106" s="4"/>
      <c r="R106" s="4"/>
      <c r="S106" s="4"/>
      <c r="T106" s="4"/>
      <c r="U106" s="4"/>
      <c r="V106" s="8"/>
      <c r="W106" s="7"/>
      <c r="X106" s="7"/>
      <c r="Y106" s="1"/>
      <c r="Z106"/>
    </row>
    <row r="107" spans="1:26" x14ac:dyDescent="0.25">
      <c r="A107" s="169"/>
      <c r="B107" s="78"/>
      <c r="C107" s="15"/>
      <c r="D107" s="16"/>
      <c r="E107" s="16"/>
      <c r="F107" s="16"/>
      <c r="G107" s="16"/>
      <c r="I107" s="16"/>
      <c r="J107" s="16"/>
      <c r="K107" s="16"/>
      <c r="L107" s="16"/>
      <c r="N107" s="4"/>
      <c r="O107" s="4"/>
      <c r="P107" s="4"/>
      <c r="R107" s="4"/>
      <c r="S107" s="4"/>
      <c r="T107" s="4"/>
      <c r="U107" s="4"/>
      <c r="V107" s="8"/>
      <c r="W107" s="7"/>
      <c r="X107" s="7"/>
      <c r="Y107" s="1"/>
      <c r="Z107"/>
    </row>
    <row r="108" spans="1:26" x14ac:dyDescent="0.25">
      <c r="A108" s="169"/>
      <c r="B108" s="78"/>
      <c r="D108" s="45"/>
      <c r="E108" s="45"/>
      <c r="F108" s="45"/>
      <c r="G108" s="45"/>
      <c r="I108" s="16"/>
      <c r="J108" s="16"/>
      <c r="K108" s="16"/>
      <c r="L108" s="16"/>
      <c r="N108" s="4"/>
      <c r="O108" s="4"/>
      <c r="P108" s="4"/>
      <c r="Y108" s="1"/>
      <c r="Z108"/>
    </row>
    <row r="109" spans="1:26" x14ac:dyDescent="0.25">
      <c r="A109" s="169"/>
      <c r="B109" s="131"/>
      <c r="D109" s="45"/>
      <c r="E109" s="45"/>
      <c r="F109" s="45"/>
      <c r="G109" s="45"/>
      <c r="I109" s="16"/>
      <c r="J109" s="16"/>
      <c r="K109" s="16"/>
      <c r="L109" s="16"/>
      <c r="N109" s="4"/>
      <c r="O109" s="4"/>
      <c r="P109" s="4"/>
      <c r="Y109" s="1"/>
      <c r="Z109"/>
    </row>
    <row r="110" spans="1:26" ht="15.75" thickBot="1" x14ac:dyDescent="0.3">
      <c r="A110" s="27" t="s">
        <v>16</v>
      </c>
      <c r="B110" s="176" t="s">
        <v>148</v>
      </c>
      <c r="C110" s="164"/>
      <c r="D110" s="165"/>
      <c r="E110" s="165"/>
      <c r="F110" s="165"/>
      <c r="G110" s="165"/>
      <c r="H110" s="10"/>
      <c r="I110" s="165"/>
      <c r="J110" s="165"/>
      <c r="K110" s="165"/>
      <c r="L110" s="165"/>
      <c r="M110" s="10"/>
      <c r="N110" s="11"/>
      <c r="O110" s="11"/>
      <c r="P110" s="11"/>
      <c r="Q110" s="10"/>
      <c r="R110" s="11"/>
      <c r="S110" s="11"/>
      <c r="T110" s="11"/>
      <c r="U110" s="11"/>
      <c r="V110" s="11"/>
      <c r="W110" s="11"/>
      <c r="X110" s="11"/>
      <c r="Y110" s="10"/>
      <c r="Z110"/>
    </row>
    <row r="111" spans="1:26" ht="15.75" thickBot="1" x14ac:dyDescent="0.3">
      <c r="A111" s="27" t="s">
        <v>16</v>
      </c>
      <c r="B111" s="162" t="s">
        <v>45</v>
      </c>
      <c r="C111" s="18"/>
      <c r="D111" s="163"/>
      <c r="E111" s="163"/>
      <c r="F111" s="163"/>
      <c r="G111" s="163"/>
      <c r="H111" s="10"/>
      <c r="I111" s="163"/>
      <c r="J111" s="163"/>
      <c r="K111" s="163"/>
      <c r="L111" s="163"/>
      <c r="M111" s="10"/>
      <c r="Y111" s="10"/>
      <c r="Z111"/>
    </row>
  </sheetData>
  <mergeCells count="1">
    <mergeCell ref="A1:B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BE24-A27B-4410-B95F-B8808C1915F2}">
  <sheetPr codeName="Sheet2"/>
  <dimension ref="A1:AF74"/>
  <sheetViews>
    <sheetView showGridLines="0" zoomScaleNormal="100" workbookViewId="0">
      <pane xSplit="3" ySplit="5" topLeftCell="R6" activePane="bottomRight" state="frozen"/>
      <selection pane="topRight" activeCell="Z38" sqref="Z38"/>
      <selection pane="bottomLeft" activeCell="Z38" sqref="Z38"/>
      <selection pane="bottomRight" activeCell="AC7" sqref="AC7"/>
    </sheetView>
  </sheetViews>
  <sheetFormatPr defaultRowHeight="15" x14ac:dyDescent="0.25"/>
  <cols>
    <col min="1" max="1" width="12.42578125" style="12" bestFit="1" customWidth="1"/>
    <col min="2" max="2" width="55.140625" style="13" bestFit="1" customWidth="1"/>
    <col min="3" max="3" width="1.140625" customWidth="1"/>
    <col min="4" max="5" width="16.140625" style="2" customWidth="1"/>
    <col min="6" max="6" width="14.140625" style="2" customWidth="1"/>
    <col min="7" max="7" width="15.85546875" style="2" customWidth="1"/>
    <col min="8" max="8" width="1.42578125" style="1" customWidth="1"/>
    <col min="9" max="9" width="36.140625" style="2" bestFit="1" customWidth="1"/>
    <col min="10" max="10" width="35.42578125" style="2" bestFit="1" customWidth="1"/>
    <col min="11" max="11" width="18.7109375" style="2" bestFit="1" customWidth="1"/>
    <col min="12" max="12" width="1.42578125" style="1" customWidth="1"/>
    <col min="13" max="13" width="14.85546875" style="2" customWidth="1"/>
    <col min="14" max="15" width="16.42578125" style="2" customWidth="1"/>
    <col min="16" max="16" width="1.85546875" style="1" customWidth="1"/>
    <col min="17" max="17" width="14.85546875" style="2" customWidth="1"/>
    <col min="18" max="20" width="16.42578125" style="2" customWidth="1"/>
    <col min="21" max="21" width="15.5703125" style="2" customWidth="1"/>
    <col min="22" max="22" width="16.140625" style="2" customWidth="1"/>
    <col min="23" max="23" width="14.42578125" style="2" customWidth="1"/>
    <col min="24" max="24" width="2.140625" style="2" customWidth="1"/>
    <col min="25" max="27" width="16.42578125" hidden="1" customWidth="1"/>
    <col min="28" max="28" width="16.42578125" customWidth="1"/>
    <col min="29" max="29" width="4.5703125" style="14" customWidth="1"/>
    <col min="30" max="30" width="29.7109375" style="14" bestFit="1" customWidth="1"/>
    <col min="31" max="31" width="28" style="2" bestFit="1" customWidth="1"/>
    <col min="32" max="32" width="18.5703125" style="2" bestFit="1" customWidth="1"/>
  </cols>
  <sheetData>
    <row r="1" spans="1:32" ht="24" thickBot="1" x14ac:dyDescent="0.4">
      <c r="A1" s="192" t="s">
        <v>66</v>
      </c>
      <c r="B1" s="192"/>
      <c r="D1" s="242" t="s">
        <v>116</v>
      </c>
      <c r="E1" s="243"/>
      <c r="F1" s="244" t="s">
        <v>115</v>
      </c>
      <c r="G1" s="244"/>
      <c r="I1" s="110"/>
      <c r="J1" s="110"/>
      <c r="K1" s="110"/>
      <c r="X1" s="1"/>
      <c r="Y1" s="1"/>
      <c r="Z1" s="1"/>
      <c r="AA1" s="1"/>
      <c r="AB1" s="1"/>
      <c r="AC1"/>
      <c r="AD1" s="43"/>
      <c r="AE1" s="43"/>
      <c r="AF1" s="43"/>
    </row>
    <row r="2" spans="1:32" ht="24" thickBot="1" x14ac:dyDescent="0.4">
      <c r="A2" s="146"/>
      <c r="B2" s="158" t="s">
        <v>113</v>
      </c>
      <c r="D2" s="147">
        <v>1</v>
      </c>
      <c r="E2" s="148">
        <v>2</v>
      </c>
      <c r="F2" s="149">
        <v>3</v>
      </c>
      <c r="G2" s="149">
        <v>4</v>
      </c>
      <c r="I2" s="150"/>
      <c r="J2" s="110"/>
      <c r="K2" s="150"/>
      <c r="M2" s="241" t="s">
        <v>112</v>
      </c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1"/>
      <c r="Y2" s="1"/>
      <c r="Z2" s="1"/>
      <c r="AA2" s="1"/>
      <c r="AB2" s="147">
        <v>5</v>
      </c>
      <c r="AC2"/>
      <c r="AD2" s="151"/>
      <c r="AE2" s="43"/>
      <c r="AF2" s="151"/>
    </row>
    <row r="3" spans="1:32" s="154" customFormat="1" ht="13.5" thickBot="1" x14ac:dyDescent="0.25">
      <c r="A3" s="152"/>
      <c r="B3" s="159" t="s">
        <v>102</v>
      </c>
      <c r="D3" s="153" t="s">
        <v>103</v>
      </c>
      <c r="E3" s="153" t="s">
        <v>104</v>
      </c>
      <c r="F3" s="153" t="s">
        <v>99</v>
      </c>
      <c r="G3" s="153" t="s">
        <v>105</v>
      </c>
      <c r="H3" s="155"/>
      <c r="I3" s="156" t="s">
        <v>106</v>
      </c>
      <c r="J3" s="156" t="s">
        <v>107</v>
      </c>
      <c r="K3" s="156" t="s">
        <v>114</v>
      </c>
      <c r="L3" s="155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155"/>
      <c r="Y3" s="155"/>
      <c r="Z3" s="155"/>
      <c r="AA3" s="155"/>
      <c r="AB3" s="155" t="s">
        <v>108</v>
      </c>
      <c r="AD3" s="157" t="s">
        <v>109</v>
      </c>
      <c r="AE3" s="157" t="s">
        <v>110</v>
      </c>
      <c r="AF3" s="157" t="s">
        <v>111</v>
      </c>
    </row>
    <row r="4" spans="1:32" s="18" customFormat="1" ht="31.35" customHeight="1" x14ac:dyDescent="0.25">
      <c r="A4" s="196" t="s">
        <v>84</v>
      </c>
      <c r="B4" s="197"/>
      <c r="D4" s="200" t="s">
        <v>79</v>
      </c>
      <c r="E4" s="200" t="s">
        <v>80</v>
      </c>
      <c r="F4" s="202" t="s">
        <v>0</v>
      </c>
      <c r="G4" s="204" t="s">
        <v>1</v>
      </c>
      <c r="H4" s="42"/>
      <c r="I4" s="188" t="s">
        <v>69</v>
      </c>
      <c r="J4" s="218" t="s">
        <v>70</v>
      </c>
      <c r="K4" s="206" t="s">
        <v>71</v>
      </c>
      <c r="L4" s="42"/>
      <c r="M4" s="238" t="str">
        <f>Perakende!M2</f>
        <v>3 Haziran 2024 LİSTE FİYATI</v>
      </c>
      <c r="N4" s="235" t="str">
        <f>Perakende!N2</f>
        <v>3 Haziran 2024 KAMPANYALI FİYAT</v>
      </c>
      <c r="O4" s="251" t="s">
        <v>47</v>
      </c>
      <c r="P4" s="34"/>
      <c r="Q4" s="238" t="str">
        <f>Perakende!P2</f>
        <v>1 Temmuz 2024 LİSTE FİYATI</v>
      </c>
      <c r="R4" s="235" t="str">
        <f>Perakende!Q2</f>
        <v>1 Temmuz 2024 KAMPANYALI FİYAT</v>
      </c>
      <c r="S4" s="235" t="e">
        <f>Perakende!#REF!</f>
        <v>#REF!</v>
      </c>
      <c r="T4" s="235" t="e">
        <f>Perakende!#REF!</f>
        <v>#REF!</v>
      </c>
      <c r="U4" s="225" t="s">
        <v>2</v>
      </c>
      <c r="V4" s="230" t="str">
        <f>Perakende!S2</f>
        <v>1 Temmuz 2024 KAMPANYALI FİYAT DEĞİŞİMİ</v>
      </c>
      <c r="W4" s="214" t="s">
        <v>3</v>
      </c>
      <c r="X4" s="40"/>
      <c r="Y4" s="210" t="s">
        <v>54</v>
      </c>
      <c r="Z4" s="210" t="s">
        <v>54</v>
      </c>
      <c r="AA4" s="210" t="s">
        <v>81</v>
      </c>
      <c r="AB4" s="208" t="s">
        <v>72</v>
      </c>
      <c r="AD4" s="188" t="s">
        <v>73</v>
      </c>
      <c r="AE4" s="218" t="s">
        <v>82</v>
      </c>
      <c r="AF4" s="206" t="s">
        <v>50</v>
      </c>
    </row>
    <row r="5" spans="1:32" s="18" customFormat="1" ht="44.1" customHeight="1" thickBot="1" x14ac:dyDescent="0.3">
      <c r="A5" s="198"/>
      <c r="B5" s="199"/>
      <c r="D5" s="201"/>
      <c r="E5" s="201"/>
      <c r="F5" s="203"/>
      <c r="G5" s="205"/>
      <c r="H5" s="42"/>
      <c r="I5" s="189"/>
      <c r="J5" s="219"/>
      <c r="K5" s="207"/>
      <c r="L5" s="42"/>
      <c r="M5" s="239"/>
      <c r="N5" s="236"/>
      <c r="O5" s="252"/>
      <c r="P5" s="34"/>
      <c r="Q5" s="239"/>
      <c r="R5" s="236"/>
      <c r="S5" s="236"/>
      <c r="T5" s="236"/>
      <c r="U5" s="226"/>
      <c r="V5" s="233"/>
      <c r="W5" s="215"/>
      <c r="X5" s="40"/>
      <c r="Y5" s="211"/>
      <c r="Z5" s="211"/>
      <c r="AA5" s="211"/>
      <c r="AB5" s="245"/>
      <c r="AD5" s="189"/>
      <c r="AE5" s="219"/>
      <c r="AF5" s="207"/>
    </row>
    <row r="6" spans="1:32" ht="15.6" customHeight="1" x14ac:dyDescent="0.25">
      <c r="A6" s="230" t="s">
        <v>4</v>
      </c>
      <c r="B6" s="52" t="s">
        <v>5</v>
      </c>
      <c r="C6" s="3"/>
      <c r="D6" s="46"/>
      <c r="E6" s="46"/>
      <c r="F6" s="46"/>
      <c r="G6" s="46"/>
      <c r="H6" s="5"/>
      <c r="I6" s="46">
        <f t="shared" ref="I6:K11" si="0">H6+G6</f>
        <v>0</v>
      </c>
      <c r="J6" s="46">
        <f>E6</f>
        <v>0</v>
      </c>
      <c r="K6" s="46">
        <f t="shared" si="0"/>
        <v>0</v>
      </c>
      <c r="L6" s="5"/>
      <c r="M6" s="4">
        <f>Perakende!M4+$Q$1</f>
        <v>0</v>
      </c>
      <c r="N6" s="4">
        <f>Perakende!N4+$Q$1</f>
        <v>0</v>
      </c>
      <c r="O6" s="4"/>
      <c r="P6" s="5"/>
      <c r="Q6" s="4"/>
      <c r="R6" s="4"/>
      <c r="S6" s="4"/>
      <c r="T6" s="4"/>
      <c r="U6" s="8" t="s">
        <v>16</v>
      </c>
      <c r="V6" s="7" t="s">
        <v>16</v>
      </c>
      <c r="W6" s="7"/>
      <c r="X6" s="5"/>
      <c r="Y6" s="46"/>
      <c r="Z6" s="46"/>
      <c r="AA6" s="46"/>
      <c r="AB6" s="46"/>
      <c r="AC6"/>
      <c r="AD6" s="46">
        <f>AB6+F6+G6</f>
        <v>0</v>
      </c>
      <c r="AE6" s="46"/>
      <c r="AF6" s="46">
        <f>AD6-AE6</f>
        <v>0</v>
      </c>
    </row>
    <row r="7" spans="1:32" ht="15" customHeight="1" x14ac:dyDescent="0.25">
      <c r="A7" s="231"/>
      <c r="B7" s="52" t="s">
        <v>139</v>
      </c>
      <c r="C7" s="3"/>
      <c r="D7" s="46"/>
      <c r="E7" s="46"/>
      <c r="F7" s="46"/>
      <c r="G7" s="46"/>
      <c r="H7" s="5"/>
      <c r="I7" s="46">
        <f t="shared" ref="I7:I10" si="1">H7+G7</f>
        <v>0</v>
      </c>
      <c r="J7" s="46">
        <f t="shared" ref="J7:J10" si="2">E7</f>
        <v>0</v>
      </c>
      <c r="K7" s="46">
        <f t="shared" ref="K7:K10" si="3">J7+I7</f>
        <v>0</v>
      </c>
      <c r="L7" s="5"/>
      <c r="M7" s="4">
        <f>Perakende!M5+$Q$1</f>
        <v>1329900</v>
      </c>
      <c r="N7" s="4">
        <f>Perakende!N5+$Q$1</f>
        <v>1206700</v>
      </c>
      <c r="O7" s="4"/>
      <c r="P7" s="5"/>
      <c r="Q7" s="4"/>
      <c r="R7" s="4"/>
      <c r="S7" s="4"/>
      <c r="T7" s="4"/>
      <c r="U7" s="8" t="s">
        <v>16</v>
      </c>
      <c r="V7" s="7" t="s">
        <v>16</v>
      </c>
      <c r="W7" s="7"/>
      <c r="X7" s="5"/>
      <c r="Y7" s="46"/>
      <c r="Z7" s="46"/>
      <c r="AA7" s="46"/>
      <c r="AB7" s="46"/>
      <c r="AC7"/>
      <c r="AD7" s="46">
        <f t="shared" ref="AD7:AD10" si="4">AB7+F7+G7</f>
        <v>0</v>
      </c>
      <c r="AE7" s="46"/>
      <c r="AF7" s="46">
        <f t="shared" ref="AF7:AF10" si="5">AD7-AE7</f>
        <v>0</v>
      </c>
    </row>
    <row r="8" spans="1:32" ht="15" customHeight="1" x14ac:dyDescent="0.25">
      <c r="A8" s="231"/>
      <c r="B8" s="52" t="s">
        <v>140</v>
      </c>
      <c r="C8" s="3"/>
      <c r="D8" s="46"/>
      <c r="E8" s="46"/>
      <c r="F8" s="46"/>
      <c r="G8" s="46"/>
      <c r="H8" s="5"/>
      <c r="I8" s="46">
        <f t="shared" si="1"/>
        <v>0</v>
      </c>
      <c r="J8" s="46">
        <f t="shared" si="2"/>
        <v>0</v>
      </c>
      <c r="K8" s="46">
        <f t="shared" si="3"/>
        <v>0</v>
      </c>
      <c r="L8" s="5"/>
      <c r="M8" s="4">
        <f>Perakende!M6+$Q$1</f>
        <v>1569900</v>
      </c>
      <c r="N8" s="4">
        <f>Perakende!N6+$Q$1</f>
        <v>1416700</v>
      </c>
      <c r="O8" s="4"/>
      <c r="P8" s="5"/>
      <c r="Q8" s="4"/>
      <c r="R8" s="4"/>
      <c r="S8" s="4"/>
      <c r="T8" s="4"/>
      <c r="U8" s="8" t="s">
        <v>16</v>
      </c>
      <c r="V8" s="7" t="s">
        <v>16</v>
      </c>
      <c r="W8" s="7"/>
      <c r="X8" s="5"/>
      <c r="Y8" s="46"/>
      <c r="Z8" s="46"/>
      <c r="AA8" s="46"/>
      <c r="AB8" s="46"/>
      <c r="AC8"/>
      <c r="AD8" s="46">
        <f t="shared" si="4"/>
        <v>0</v>
      </c>
      <c r="AE8" s="46"/>
      <c r="AF8" s="46">
        <f t="shared" si="5"/>
        <v>0</v>
      </c>
    </row>
    <row r="9" spans="1:32" ht="15" customHeight="1" x14ac:dyDescent="0.25">
      <c r="A9" s="231"/>
      <c r="B9" s="52" t="s">
        <v>86</v>
      </c>
      <c r="C9" s="3"/>
      <c r="D9" s="46"/>
      <c r="E9" s="46"/>
      <c r="F9" s="46"/>
      <c r="G9" s="46"/>
      <c r="H9" s="5"/>
      <c r="I9" s="46">
        <f t="shared" si="1"/>
        <v>0</v>
      </c>
      <c r="J9" s="46">
        <f t="shared" si="2"/>
        <v>0</v>
      </c>
      <c r="K9" s="46">
        <f t="shared" si="3"/>
        <v>0</v>
      </c>
      <c r="L9" s="5"/>
      <c r="M9" s="4">
        <f>Perakende!M7+$Q$1</f>
        <v>0</v>
      </c>
      <c r="N9" s="4">
        <f>Perakende!N7+$Q$1</f>
        <v>0</v>
      </c>
      <c r="O9" s="4"/>
      <c r="P9" s="5"/>
      <c r="Q9" s="4"/>
      <c r="R9" s="4"/>
      <c r="S9" s="4"/>
      <c r="T9" s="4"/>
      <c r="U9" s="8" t="s">
        <v>16</v>
      </c>
      <c r="V9" s="7" t="s">
        <v>16</v>
      </c>
      <c r="W9" s="7"/>
      <c r="X9" s="5"/>
      <c r="Y9" s="46"/>
      <c r="Z9" s="46"/>
      <c r="AA9" s="46"/>
      <c r="AB9" s="46"/>
      <c r="AC9"/>
      <c r="AD9" s="46">
        <f t="shared" si="4"/>
        <v>0</v>
      </c>
      <c r="AE9" s="46"/>
      <c r="AF9" s="46">
        <f t="shared" si="5"/>
        <v>0</v>
      </c>
    </row>
    <row r="10" spans="1:32" ht="15" customHeight="1" x14ac:dyDescent="0.25">
      <c r="A10" s="231"/>
      <c r="B10" s="52" t="s">
        <v>141</v>
      </c>
      <c r="C10" s="3"/>
      <c r="D10" s="46"/>
      <c r="E10" s="46"/>
      <c r="F10" s="46"/>
      <c r="G10" s="46"/>
      <c r="H10" s="5"/>
      <c r="I10" s="46">
        <f t="shared" si="1"/>
        <v>0</v>
      </c>
      <c r="J10" s="46">
        <f t="shared" si="2"/>
        <v>0</v>
      </c>
      <c r="K10" s="46">
        <f t="shared" si="3"/>
        <v>0</v>
      </c>
      <c r="L10" s="5"/>
      <c r="M10" s="4">
        <f>Perakende!M8+$Q$1</f>
        <v>0</v>
      </c>
      <c r="N10" s="4">
        <f>Perakende!N8+$Q$1</f>
        <v>0</v>
      </c>
      <c r="O10" s="4"/>
      <c r="P10" s="5"/>
      <c r="Q10" s="4"/>
      <c r="R10" s="4"/>
      <c r="S10" s="4"/>
      <c r="T10" s="4"/>
      <c r="U10" s="8" t="s">
        <v>16</v>
      </c>
      <c r="V10" s="7" t="s">
        <v>16</v>
      </c>
      <c r="W10" s="7"/>
      <c r="X10" s="5"/>
      <c r="Y10" s="46"/>
      <c r="Z10" s="46"/>
      <c r="AA10" s="46"/>
      <c r="AB10" s="46"/>
      <c r="AC10"/>
      <c r="AD10" s="46">
        <f t="shared" si="4"/>
        <v>0</v>
      </c>
      <c r="AE10" s="46"/>
      <c r="AF10" s="46">
        <f t="shared" si="5"/>
        <v>0</v>
      </c>
    </row>
    <row r="11" spans="1:32" ht="15" customHeight="1" thickBot="1" x14ac:dyDescent="0.3">
      <c r="A11" s="231"/>
      <c r="B11" s="52" t="s">
        <v>117</v>
      </c>
      <c r="C11" s="3"/>
      <c r="D11" s="4"/>
      <c r="E11" s="4"/>
      <c r="F11" s="4"/>
      <c r="G11" s="4"/>
      <c r="H11" s="5"/>
      <c r="I11" s="4">
        <f t="shared" si="0"/>
        <v>0</v>
      </c>
      <c r="J11" s="4">
        <f t="shared" ref="J11" si="6">E11</f>
        <v>0</v>
      </c>
      <c r="K11" s="4">
        <f t="shared" si="0"/>
        <v>0</v>
      </c>
      <c r="L11" s="5"/>
      <c r="M11" s="4"/>
      <c r="N11" s="4"/>
      <c r="O11" s="4"/>
      <c r="P11" s="5"/>
      <c r="Q11" s="4"/>
      <c r="R11" s="4"/>
      <c r="S11" s="4"/>
      <c r="T11" s="4"/>
      <c r="U11" s="6"/>
      <c r="V11" s="7"/>
      <c r="W11" s="7"/>
      <c r="X11" s="5"/>
      <c r="Y11" s="4"/>
      <c r="Z11" s="4"/>
      <c r="AA11" s="4"/>
      <c r="AB11" s="4"/>
      <c r="AC11"/>
      <c r="AD11" s="46">
        <f>AB11+F11+G11</f>
        <v>0</v>
      </c>
      <c r="AE11" s="46"/>
      <c r="AF11" s="4">
        <f t="shared" ref="AF11" si="7">AD11-AE11</f>
        <v>0</v>
      </c>
    </row>
    <row r="12" spans="1:32" ht="15" customHeight="1" thickBot="1" x14ac:dyDescent="0.3">
      <c r="A12" s="9"/>
      <c r="B12" s="53" t="s">
        <v>9</v>
      </c>
      <c r="C12" s="41"/>
      <c r="D12" s="36">
        <f>SUM(D6:D11)</f>
        <v>0</v>
      </c>
      <c r="E12" s="47">
        <f>SUM(E6:E11)</f>
        <v>0</v>
      </c>
      <c r="F12" s="47">
        <f>SUM(F6:F11)</f>
        <v>0</v>
      </c>
      <c r="G12" s="47">
        <f>SUM(G6:G11)</f>
        <v>0</v>
      </c>
      <c r="H12" s="10"/>
      <c r="I12" s="47">
        <f>SUM(I6:I11)</f>
        <v>0</v>
      </c>
      <c r="J12" s="47">
        <f>SUM(J6:J11)</f>
        <v>0</v>
      </c>
      <c r="K12" s="47">
        <f>SUM(K6:K11)</f>
        <v>0</v>
      </c>
      <c r="L12" s="10"/>
      <c r="M12" s="11"/>
      <c r="N12" s="11"/>
      <c r="O12" s="11"/>
      <c r="P12" s="10"/>
      <c r="Q12" s="11"/>
      <c r="R12" s="11"/>
      <c r="S12" s="11"/>
      <c r="T12" s="11"/>
      <c r="U12" s="11"/>
      <c r="V12" s="11"/>
      <c r="W12" s="11"/>
      <c r="X12" s="10"/>
      <c r="Y12" s="36">
        <f>SUM(Y6:Y11)</f>
        <v>0</v>
      </c>
      <c r="Z12" s="36">
        <f>SUM(Z6:Z11)</f>
        <v>0</v>
      </c>
      <c r="AA12" s="36">
        <f>SUM(AA6:AA11)</f>
        <v>0</v>
      </c>
      <c r="AB12" s="36">
        <f>SUM(AB6:AB11)</f>
        <v>0</v>
      </c>
      <c r="AC12"/>
      <c r="AD12" s="36">
        <f>SUM(AD6:AD11)</f>
        <v>0</v>
      </c>
      <c r="AE12" s="36">
        <f>SUM(AE6:AE11)</f>
        <v>0</v>
      </c>
      <c r="AF12" s="36">
        <f>SUM(AF6:AF11)</f>
        <v>0</v>
      </c>
    </row>
    <row r="13" spans="1:32" ht="14.45" customHeight="1" x14ac:dyDescent="0.25">
      <c r="B13" s="54"/>
      <c r="X13" s="1"/>
      <c r="Y13" s="2"/>
      <c r="Z13" s="2"/>
      <c r="AA13" s="2"/>
      <c r="AB13" s="2"/>
      <c r="AC13"/>
      <c r="AD13" s="2"/>
      <c r="AF13" s="14"/>
    </row>
    <row r="14" spans="1:32" x14ac:dyDescent="0.25">
      <c r="A14" s="250" t="s">
        <v>10</v>
      </c>
      <c r="B14" s="79" t="s">
        <v>118</v>
      </c>
      <c r="C14" s="15"/>
      <c r="D14" s="63"/>
      <c r="E14" s="63"/>
      <c r="F14" s="63"/>
      <c r="G14" s="63"/>
      <c r="I14" s="63">
        <f>G14+F14+E14</f>
        <v>0</v>
      </c>
      <c r="J14" s="63">
        <f t="shared" ref="J14:J20" si="8">E14</f>
        <v>0</v>
      </c>
      <c r="K14" s="63">
        <f t="shared" ref="K14:K20" si="9">I14-J14</f>
        <v>0</v>
      </c>
      <c r="M14" s="4"/>
      <c r="N14" s="4"/>
      <c r="O14" s="4"/>
      <c r="Q14" s="4"/>
      <c r="R14" s="4"/>
      <c r="S14" s="4"/>
      <c r="T14" s="4"/>
      <c r="U14" s="6"/>
      <c r="V14" s="7"/>
      <c r="W14" s="7"/>
      <c r="X14" s="1"/>
      <c r="Y14" s="63"/>
      <c r="Z14" s="63"/>
      <c r="AA14" s="63">
        <v>70</v>
      </c>
      <c r="AB14" s="63"/>
      <c r="AC14"/>
      <c r="AD14" s="65">
        <f>AB14+K14</f>
        <v>0</v>
      </c>
      <c r="AE14" s="65"/>
      <c r="AF14" s="65">
        <f>AD14-AE14</f>
        <v>0</v>
      </c>
    </row>
    <row r="15" spans="1:32" x14ac:dyDescent="0.25">
      <c r="A15" s="250"/>
      <c r="B15" s="79" t="s">
        <v>96</v>
      </c>
      <c r="C15" s="15"/>
      <c r="D15" s="63"/>
      <c r="E15" s="63"/>
      <c r="F15" s="63"/>
      <c r="G15" s="63"/>
      <c r="I15" s="63">
        <f t="shared" ref="I15:I16" si="10">G15+F15+E15</f>
        <v>0</v>
      </c>
      <c r="J15" s="63">
        <f t="shared" ref="J15:J16" si="11">E15</f>
        <v>0</v>
      </c>
      <c r="K15" s="63">
        <f t="shared" ref="K15:K16" si="12">I15-J15</f>
        <v>0</v>
      </c>
      <c r="M15" s="4"/>
      <c r="N15" s="4"/>
      <c r="O15" s="4"/>
      <c r="Q15" s="4"/>
      <c r="R15" s="4"/>
      <c r="S15" s="4"/>
      <c r="T15" s="4"/>
      <c r="U15" s="6"/>
      <c r="V15" s="7"/>
      <c r="W15" s="7"/>
      <c r="X15" s="1"/>
      <c r="Y15" s="63"/>
      <c r="Z15" s="63"/>
      <c r="AA15" s="63">
        <v>71</v>
      </c>
      <c r="AB15" s="63"/>
      <c r="AC15"/>
      <c r="AD15" s="65">
        <f t="shared" ref="AD15:AD16" si="13">AB15+K15</f>
        <v>0</v>
      </c>
      <c r="AE15" s="65"/>
      <c r="AF15" s="65">
        <f t="shared" ref="AF15:AF16" si="14">AD15-AE15</f>
        <v>0</v>
      </c>
    </row>
    <row r="16" spans="1:32" x14ac:dyDescent="0.25">
      <c r="A16" s="250"/>
      <c r="B16" s="79" t="s">
        <v>119</v>
      </c>
      <c r="C16" s="15"/>
      <c r="D16" s="63"/>
      <c r="E16" s="63"/>
      <c r="F16" s="63"/>
      <c r="G16" s="63"/>
      <c r="I16" s="63">
        <f t="shared" si="10"/>
        <v>0</v>
      </c>
      <c r="J16" s="63">
        <f t="shared" si="11"/>
        <v>0</v>
      </c>
      <c r="K16" s="63">
        <f t="shared" si="12"/>
        <v>0</v>
      </c>
      <c r="M16" s="4"/>
      <c r="N16" s="4"/>
      <c r="O16" s="4"/>
      <c r="Q16" s="4"/>
      <c r="R16" s="4"/>
      <c r="S16" s="4"/>
      <c r="T16" s="4"/>
      <c r="U16" s="6"/>
      <c r="V16" s="7"/>
      <c r="W16" s="7"/>
      <c r="X16" s="1"/>
      <c r="Y16" s="63"/>
      <c r="Z16" s="63"/>
      <c r="AA16" s="63">
        <v>72</v>
      </c>
      <c r="AB16" s="63"/>
      <c r="AC16"/>
      <c r="AD16" s="65">
        <f t="shared" si="13"/>
        <v>0</v>
      </c>
      <c r="AE16" s="65"/>
      <c r="AF16" s="65">
        <f t="shared" si="14"/>
        <v>0</v>
      </c>
    </row>
    <row r="17" spans="1:32" x14ac:dyDescent="0.25">
      <c r="A17" s="250"/>
      <c r="B17" s="79" t="s">
        <v>11</v>
      </c>
      <c r="C17" s="15"/>
      <c r="D17" s="63"/>
      <c r="E17" s="63"/>
      <c r="F17" s="63"/>
      <c r="G17" s="63"/>
      <c r="I17" s="63">
        <f>G17+F17+E17</f>
        <v>0</v>
      </c>
      <c r="J17" s="63">
        <f t="shared" si="8"/>
        <v>0</v>
      </c>
      <c r="K17" s="63">
        <f t="shared" si="9"/>
        <v>0</v>
      </c>
      <c r="M17" s="4"/>
      <c r="N17" s="4"/>
      <c r="O17" s="4"/>
      <c r="Q17" s="4"/>
      <c r="R17" s="4"/>
      <c r="S17" s="4"/>
      <c r="T17" s="4"/>
      <c r="U17" s="6"/>
      <c r="V17" s="7"/>
      <c r="W17" s="7"/>
      <c r="X17" s="1"/>
      <c r="Y17" s="63"/>
      <c r="Z17" s="63"/>
      <c r="AA17" s="63">
        <v>1</v>
      </c>
      <c r="AB17" s="63"/>
      <c r="AC17"/>
      <c r="AD17" s="65">
        <f>AB17+K17</f>
        <v>0</v>
      </c>
      <c r="AE17" s="65"/>
      <c r="AF17" s="65">
        <f t="shared" ref="AF17:AF19" si="15">AD17-AE17</f>
        <v>0</v>
      </c>
    </row>
    <row r="18" spans="1:32" x14ac:dyDescent="0.25">
      <c r="A18" s="250"/>
      <c r="B18" s="79" t="s">
        <v>14</v>
      </c>
      <c r="C18" s="15"/>
      <c r="D18" s="63"/>
      <c r="E18" s="63"/>
      <c r="F18" s="63"/>
      <c r="G18" s="63"/>
      <c r="I18" s="63">
        <f>G18+F18+E18</f>
        <v>0</v>
      </c>
      <c r="J18" s="63">
        <f t="shared" si="8"/>
        <v>0</v>
      </c>
      <c r="K18" s="63">
        <f t="shared" si="9"/>
        <v>0</v>
      </c>
      <c r="M18" s="4"/>
      <c r="N18" s="4"/>
      <c r="O18" s="4"/>
      <c r="Q18" s="4"/>
      <c r="R18" s="4"/>
      <c r="S18" s="4"/>
      <c r="T18" s="4"/>
      <c r="U18" s="6"/>
      <c r="V18" s="7"/>
      <c r="W18" s="7"/>
      <c r="X18" s="1"/>
      <c r="Y18" s="63"/>
      <c r="Z18" s="63"/>
      <c r="AA18" s="63"/>
      <c r="AB18" s="63"/>
      <c r="AC18"/>
      <c r="AD18" s="65">
        <f>AB18+K18</f>
        <v>0</v>
      </c>
      <c r="AE18" s="65"/>
      <c r="AF18" s="65">
        <f t="shared" ref="AF18" si="16">AD18-AE18</f>
        <v>0</v>
      </c>
    </row>
    <row r="19" spans="1:32" ht="15.75" customHeight="1" x14ac:dyDescent="0.25">
      <c r="A19" s="250"/>
      <c r="B19" s="79" t="s">
        <v>13</v>
      </c>
      <c r="C19" s="15"/>
      <c r="D19" s="64"/>
      <c r="E19" s="64"/>
      <c r="F19" s="64"/>
      <c r="G19" s="64"/>
      <c r="I19" s="64">
        <f>G19+F19+E19</f>
        <v>0</v>
      </c>
      <c r="J19" s="64">
        <f t="shared" si="8"/>
        <v>0</v>
      </c>
      <c r="K19" s="64">
        <f t="shared" si="9"/>
        <v>0</v>
      </c>
      <c r="M19" s="4"/>
      <c r="N19" s="4"/>
      <c r="O19" s="4"/>
      <c r="Q19" s="4"/>
      <c r="R19" s="4"/>
      <c r="S19" s="4"/>
      <c r="T19" s="4"/>
      <c r="U19" s="6"/>
      <c r="V19" s="7"/>
      <c r="W19" s="7"/>
      <c r="X19" s="1"/>
      <c r="Y19" s="63"/>
      <c r="Z19" s="63"/>
      <c r="AA19" s="63"/>
      <c r="AB19" s="63"/>
      <c r="AC19"/>
      <c r="AD19" s="65">
        <f>AB19+K19</f>
        <v>0</v>
      </c>
      <c r="AE19" s="65"/>
      <c r="AF19" s="65">
        <f t="shared" si="15"/>
        <v>0</v>
      </c>
    </row>
    <row r="20" spans="1:32" ht="15.75" customHeight="1" thickBot="1" x14ac:dyDescent="0.3">
      <c r="A20" s="250"/>
      <c r="B20" s="79" t="s">
        <v>15</v>
      </c>
      <c r="C20" s="15"/>
      <c r="D20" s="64"/>
      <c r="E20" s="64"/>
      <c r="F20" s="64"/>
      <c r="G20" s="64"/>
      <c r="I20" s="64">
        <f>G20+F20+E20</f>
        <v>0</v>
      </c>
      <c r="J20" s="64">
        <f t="shared" si="8"/>
        <v>0</v>
      </c>
      <c r="K20" s="64">
        <f t="shared" si="9"/>
        <v>0</v>
      </c>
      <c r="M20" s="4"/>
      <c r="N20" s="4"/>
      <c r="O20" s="4"/>
      <c r="Q20" s="4"/>
      <c r="R20" s="4"/>
      <c r="S20" s="4"/>
      <c r="T20" s="4"/>
      <c r="U20" s="8"/>
      <c r="V20" s="7"/>
      <c r="W20" s="7"/>
      <c r="X20" s="1"/>
      <c r="Y20" s="63"/>
      <c r="Z20" s="63"/>
      <c r="AA20" s="63"/>
      <c r="AB20" s="63"/>
      <c r="AC20"/>
      <c r="AD20" s="65">
        <f>AB20+K20</f>
        <v>0</v>
      </c>
      <c r="AE20" s="65"/>
      <c r="AF20" s="65">
        <f t="shared" ref="AF20" si="17">AD20-AE20</f>
        <v>0</v>
      </c>
    </row>
    <row r="21" spans="1:32" ht="15.75" thickBot="1" x14ac:dyDescent="0.3">
      <c r="A21" s="9"/>
      <c r="B21" s="77" t="s">
        <v>17</v>
      </c>
      <c r="C21" s="18"/>
      <c r="D21" s="36">
        <f>SUM(D14:D20)</f>
        <v>0</v>
      </c>
      <c r="E21" s="36">
        <f t="shared" ref="E21:G21" si="18">SUM(E14:E20)</f>
        <v>0</v>
      </c>
      <c r="F21" s="36">
        <f t="shared" si="18"/>
        <v>0</v>
      </c>
      <c r="G21" s="36">
        <f t="shared" si="18"/>
        <v>0</v>
      </c>
      <c r="H21" s="10"/>
      <c r="I21" s="37">
        <f t="shared" ref="I21:K21" si="19">SUM(I14:I20)</f>
        <v>0</v>
      </c>
      <c r="J21" s="37">
        <f t="shared" si="19"/>
        <v>0</v>
      </c>
      <c r="K21" s="37">
        <f t="shared" si="19"/>
        <v>0</v>
      </c>
      <c r="L21" s="10"/>
      <c r="M21" s="18"/>
      <c r="N21" s="18"/>
      <c r="O21" s="18"/>
      <c r="P21" s="10"/>
      <c r="Q21" s="18"/>
      <c r="R21" s="18"/>
      <c r="S21" s="18"/>
      <c r="T21" s="18"/>
      <c r="U21" s="18"/>
      <c r="V21" s="18"/>
      <c r="W21" s="18"/>
      <c r="X21" s="10"/>
      <c r="Y21" s="36">
        <f t="shared" ref="Y21:AA21" si="20">SUM(Y14:Y20)</f>
        <v>0</v>
      </c>
      <c r="Z21" s="36">
        <f t="shared" si="20"/>
        <v>0</v>
      </c>
      <c r="AA21" s="36">
        <f t="shared" si="20"/>
        <v>214</v>
      </c>
      <c r="AB21" s="36">
        <f>SUM(AB14:AB20)</f>
        <v>0</v>
      </c>
      <c r="AC21"/>
      <c r="AD21" s="50">
        <f>SUM(AD14:AD20)</f>
        <v>0</v>
      </c>
      <c r="AE21" s="50">
        <f t="shared" ref="AE21:AF21" si="21">SUM(AE14:AE20)</f>
        <v>0</v>
      </c>
      <c r="AF21" s="50">
        <f t="shared" si="21"/>
        <v>0</v>
      </c>
    </row>
    <row r="22" spans="1:32" x14ac:dyDescent="0.25">
      <c r="A22" s="19"/>
      <c r="B22" s="58"/>
      <c r="C22" s="20"/>
      <c r="D22" s="21"/>
      <c r="E22" s="21"/>
      <c r="F22" s="21"/>
      <c r="G22" s="21"/>
      <c r="H22" s="22"/>
      <c r="I22" s="21"/>
      <c r="J22" s="21"/>
      <c r="K22" s="21"/>
      <c r="L22" s="22"/>
      <c r="M22" s="23"/>
      <c r="N22" s="23"/>
      <c r="O22" s="23"/>
      <c r="P22" s="22"/>
      <c r="Q22" s="23"/>
      <c r="R22" s="23"/>
      <c r="S22" s="23"/>
      <c r="T22" s="23"/>
      <c r="U22" s="23"/>
      <c r="V22" s="23"/>
      <c r="W22" s="23"/>
      <c r="X22" s="22"/>
      <c r="Y22" s="21"/>
      <c r="Z22" s="21"/>
      <c r="AA22" s="21"/>
      <c r="AB22" s="21"/>
      <c r="AC22"/>
      <c r="AD22" s="21"/>
      <c r="AE22" s="21"/>
      <c r="AF22" s="24"/>
    </row>
    <row r="23" spans="1:32" x14ac:dyDescent="0.25">
      <c r="A23" s="255" t="s">
        <v>18</v>
      </c>
      <c r="B23" s="79" t="s">
        <v>120</v>
      </c>
      <c r="C23" s="15"/>
      <c r="D23" s="63"/>
      <c r="E23" s="63"/>
      <c r="F23" s="63"/>
      <c r="G23" s="63"/>
      <c r="I23" s="63">
        <f>G23+F23+E23</f>
        <v>0</v>
      </c>
      <c r="J23" s="63">
        <f t="shared" ref="J23:J28" si="22">E23</f>
        <v>0</v>
      </c>
      <c r="K23" s="63">
        <f t="shared" ref="K23:K28" si="23">I23-J23</f>
        <v>0</v>
      </c>
      <c r="M23" s="4"/>
      <c r="N23" s="4"/>
      <c r="O23" s="4"/>
      <c r="Q23" s="4"/>
      <c r="R23" s="4"/>
      <c r="S23" s="4"/>
      <c r="T23" s="4"/>
      <c r="U23" s="6"/>
      <c r="V23" s="7"/>
      <c r="W23" s="7"/>
      <c r="X23" s="1"/>
      <c r="Y23" s="63"/>
      <c r="Z23" s="63"/>
      <c r="AA23" s="63">
        <v>2</v>
      </c>
      <c r="AB23" s="63"/>
      <c r="AC23"/>
      <c r="AD23" s="65">
        <f>AB23+K23</f>
        <v>0</v>
      </c>
      <c r="AE23" s="65"/>
      <c r="AF23" s="65">
        <f t="shared" ref="AF23:AF27" si="24">AD23-AE23</f>
        <v>0</v>
      </c>
    </row>
    <row r="24" spans="1:32" x14ac:dyDescent="0.25">
      <c r="A24" s="255"/>
      <c r="B24" s="79" t="s">
        <v>121</v>
      </c>
      <c r="C24" s="15"/>
      <c r="D24" s="63"/>
      <c r="E24" s="63"/>
      <c r="F24" s="63"/>
      <c r="G24" s="63"/>
      <c r="I24" s="63">
        <f t="shared" ref="I24:I26" si="25">G24+F24+E24</f>
        <v>0</v>
      </c>
      <c r="J24" s="63">
        <f t="shared" ref="J24:J26" si="26">E24</f>
        <v>0</v>
      </c>
      <c r="K24" s="63">
        <f t="shared" ref="K24:K26" si="27">I24-J24</f>
        <v>0</v>
      </c>
      <c r="M24" s="4"/>
      <c r="N24" s="4"/>
      <c r="O24" s="4"/>
      <c r="Q24" s="4"/>
      <c r="R24" s="4"/>
      <c r="S24" s="4"/>
      <c r="T24" s="4"/>
      <c r="U24" s="6"/>
      <c r="V24" s="7"/>
      <c r="W24" s="7"/>
      <c r="X24" s="1"/>
      <c r="Y24" s="63"/>
      <c r="Z24" s="63"/>
      <c r="AA24" s="63">
        <v>3</v>
      </c>
      <c r="AB24" s="63"/>
      <c r="AC24"/>
      <c r="AD24" s="65">
        <f t="shared" ref="AD24:AD26" si="28">AB24+K24</f>
        <v>0</v>
      </c>
      <c r="AE24" s="65"/>
      <c r="AF24" s="65">
        <f t="shared" ref="AF24:AF26" si="29">AD24-AE24</f>
        <v>0</v>
      </c>
    </row>
    <row r="25" spans="1:32" x14ac:dyDescent="0.25">
      <c r="A25" s="255"/>
      <c r="B25" s="79" t="s">
        <v>19</v>
      </c>
      <c r="C25" s="15"/>
      <c r="D25" s="63"/>
      <c r="E25" s="63"/>
      <c r="F25" s="63"/>
      <c r="G25" s="63"/>
      <c r="I25" s="63">
        <f t="shared" si="25"/>
        <v>0</v>
      </c>
      <c r="J25" s="63">
        <f t="shared" si="26"/>
        <v>0</v>
      </c>
      <c r="K25" s="63">
        <f t="shared" si="27"/>
        <v>0</v>
      </c>
      <c r="M25" s="4"/>
      <c r="N25" s="4"/>
      <c r="O25" s="4"/>
      <c r="Q25" s="4"/>
      <c r="R25" s="4"/>
      <c r="S25" s="4"/>
      <c r="T25" s="4"/>
      <c r="U25" s="6"/>
      <c r="V25" s="7"/>
      <c r="W25" s="7"/>
      <c r="X25" s="1"/>
      <c r="Y25" s="63"/>
      <c r="Z25" s="63"/>
      <c r="AA25" s="63">
        <v>4</v>
      </c>
      <c r="AB25" s="63"/>
      <c r="AC25"/>
      <c r="AD25" s="65">
        <f t="shared" si="28"/>
        <v>0</v>
      </c>
      <c r="AE25" s="65"/>
      <c r="AF25" s="65">
        <f t="shared" si="29"/>
        <v>0</v>
      </c>
    </row>
    <row r="26" spans="1:32" x14ac:dyDescent="0.25">
      <c r="A26" s="255"/>
      <c r="B26" s="79" t="s">
        <v>20</v>
      </c>
      <c r="C26" s="15"/>
      <c r="D26" s="63"/>
      <c r="E26" s="63"/>
      <c r="F26" s="63"/>
      <c r="G26" s="63"/>
      <c r="I26" s="63">
        <f t="shared" si="25"/>
        <v>0</v>
      </c>
      <c r="J26" s="63">
        <f t="shared" si="26"/>
        <v>0</v>
      </c>
      <c r="K26" s="63">
        <f t="shared" si="27"/>
        <v>0</v>
      </c>
      <c r="M26" s="4"/>
      <c r="N26" s="4"/>
      <c r="O26" s="4"/>
      <c r="Q26" s="4"/>
      <c r="R26" s="4"/>
      <c r="S26" s="4"/>
      <c r="T26" s="4"/>
      <c r="U26" s="6"/>
      <c r="V26" s="7"/>
      <c r="W26" s="7"/>
      <c r="X26" s="1"/>
      <c r="Y26" s="63"/>
      <c r="Z26" s="63"/>
      <c r="AA26" s="63">
        <v>5</v>
      </c>
      <c r="AB26" s="63"/>
      <c r="AC26"/>
      <c r="AD26" s="65">
        <f t="shared" si="28"/>
        <v>0</v>
      </c>
      <c r="AE26" s="65"/>
      <c r="AF26" s="65">
        <f t="shared" si="29"/>
        <v>0</v>
      </c>
    </row>
    <row r="27" spans="1:32" ht="15" customHeight="1" x14ac:dyDescent="0.25">
      <c r="A27" s="255"/>
      <c r="B27" s="79" t="s">
        <v>21</v>
      </c>
      <c r="C27" s="15"/>
      <c r="D27" s="64"/>
      <c r="E27" s="64"/>
      <c r="F27" s="64"/>
      <c r="G27" s="64"/>
      <c r="I27" s="64">
        <f>G27+F27+E27</f>
        <v>0</v>
      </c>
      <c r="J27" s="64">
        <f t="shared" si="22"/>
        <v>0</v>
      </c>
      <c r="K27" s="64">
        <f t="shared" si="23"/>
        <v>0</v>
      </c>
      <c r="M27" s="4"/>
      <c r="N27" s="4"/>
      <c r="O27" s="4"/>
      <c r="Q27" s="4"/>
      <c r="R27" s="4"/>
      <c r="S27" s="4"/>
      <c r="T27" s="4"/>
      <c r="U27" s="6"/>
      <c r="V27" s="7"/>
      <c r="W27" s="7"/>
      <c r="X27" s="1"/>
      <c r="Y27" s="63"/>
      <c r="Z27" s="63"/>
      <c r="AA27" s="63"/>
      <c r="AB27" s="63"/>
      <c r="AC27"/>
      <c r="AD27" s="67">
        <f>AB27+K27</f>
        <v>0</v>
      </c>
      <c r="AE27" s="65"/>
      <c r="AF27" s="65">
        <f t="shared" si="24"/>
        <v>0</v>
      </c>
    </row>
    <row r="28" spans="1:32" ht="15" customHeight="1" thickBot="1" x14ac:dyDescent="0.3">
      <c r="A28" s="105"/>
      <c r="B28" s="79" t="s">
        <v>22</v>
      </c>
      <c r="C28" s="15"/>
      <c r="D28" s="64"/>
      <c r="E28" s="64"/>
      <c r="F28" s="64"/>
      <c r="G28" s="64"/>
      <c r="I28" s="64">
        <f>G28+F28+E28</f>
        <v>0</v>
      </c>
      <c r="J28" s="64">
        <f t="shared" si="22"/>
        <v>0</v>
      </c>
      <c r="K28" s="64">
        <f t="shared" si="23"/>
        <v>0</v>
      </c>
      <c r="M28" s="4"/>
      <c r="N28" s="4"/>
      <c r="O28" s="4"/>
      <c r="Q28" s="4"/>
      <c r="R28" s="4"/>
      <c r="S28" s="4"/>
      <c r="T28" s="4"/>
      <c r="U28" s="8"/>
      <c r="V28" s="7"/>
      <c r="W28" s="7"/>
      <c r="X28" s="1"/>
      <c r="Y28" s="63"/>
      <c r="Z28" s="63"/>
      <c r="AA28" s="63"/>
      <c r="AB28" s="63"/>
      <c r="AC28"/>
      <c r="AD28" s="67">
        <f>AB28+K28</f>
        <v>0</v>
      </c>
      <c r="AE28" s="65"/>
      <c r="AF28" s="65">
        <f t="shared" ref="AF28" si="30">AD28-AE28</f>
        <v>0</v>
      </c>
    </row>
    <row r="29" spans="1:32" ht="15" customHeight="1" thickBot="1" x14ac:dyDescent="0.3">
      <c r="A29" s="9"/>
      <c r="B29" s="77" t="s">
        <v>23</v>
      </c>
      <c r="C29" s="18"/>
      <c r="D29" s="36">
        <f t="shared" ref="D29:F29" si="31">SUM(D23:D27)</f>
        <v>0</v>
      </c>
      <c r="E29" s="37">
        <f t="shared" si="31"/>
        <v>0</v>
      </c>
      <c r="F29" s="37">
        <f t="shared" si="31"/>
        <v>0</v>
      </c>
      <c r="G29" s="37">
        <f>SUM(G23:G28)</f>
        <v>0</v>
      </c>
      <c r="H29" s="10"/>
      <c r="I29" s="37">
        <f t="shared" ref="I29:K29" si="32">SUM(I23:I28)</f>
        <v>0</v>
      </c>
      <c r="J29" s="37">
        <f t="shared" si="32"/>
        <v>0</v>
      </c>
      <c r="K29" s="37">
        <f t="shared" si="32"/>
        <v>0</v>
      </c>
      <c r="L29" s="10"/>
      <c r="M29" s="31"/>
      <c r="N29" s="31"/>
      <c r="O29" s="31"/>
      <c r="P29" s="10"/>
      <c r="Q29" s="31"/>
      <c r="R29" s="31"/>
      <c r="S29" s="31"/>
      <c r="T29" s="31"/>
      <c r="U29" s="31"/>
      <c r="V29" s="31"/>
      <c r="W29" s="31"/>
      <c r="X29" s="10"/>
      <c r="Y29" s="36">
        <f t="shared" ref="Y29:AA29" si="33">SUM(Y23:Y28)</f>
        <v>0</v>
      </c>
      <c r="Z29" s="36">
        <f t="shared" si="33"/>
        <v>0</v>
      </c>
      <c r="AA29" s="36">
        <f t="shared" si="33"/>
        <v>14</v>
      </c>
      <c r="AB29" s="36">
        <f>SUM(AB23:AB28)</f>
        <v>0</v>
      </c>
      <c r="AC29"/>
      <c r="AD29" s="36">
        <f t="shared" ref="AD29:AF29" si="34">SUM(AD23:AD28)</f>
        <v>0</v>
      </c>
      <c r="AE29" s="36">
        <f t="shared" si="34"/>
        <v>0</v>
      </c>
      <c r="AF29" s="36">
        <f t="shared" si="34"/>
        <v>0</v>
      </c>
    </row>
    <row r="30" spans="1:32" x14ac:dyDescent="0.25">
      <c r="A30" s="19"/>
      <c r="B30" s="58"/>
      <c r="C30" s="20"/>
      <c r="D30" s="21"/>
      <c r="E30" s="21"/>
      <c r="F30" s="21"/>
      <c r="G30" s="21"/>
      <c r="H30" s="22"/>
      <c r="I30" s="21"/>
      <c r="J30" s="21"/>
      <c r="K30" s="21"/>
      <c r="L30" s="22"/>
      <c r="M30" s="11"/>
      <c r="N30" s="11"/>
      <c r="O30" s="11"/>
      <c r="P30" s="22"/>
      <c r="Q30" s="11"/>
      <c r="R30" s="11"/>
      <c r="S30" s="11"/>
      <c r="T30" s="11"/>
      <c r="U30" s="25"/>
      <c r="V30" s="25"/>
      <c r="W30" s="25"/>
      <c r="X30" s="22"/>
      <c r="Y30" s="21"/>
      <c r="Z30" s="21"/>
      <c r="AA30" s="21"/>
      <c r="AB30" s="21"/>
      <c r="AC30"/>
      <c r="AD30" s="21"/>
      <c r="AE30" s="21"/>
      <c r="AF30" s="24"/>
    </row>
    <row r="31" spans="1:32" ht="15" customHeight="1" x14ac:dyDescent="0.25">
      <c r="A31" s="248" t="s">
        <v>24</v>
      </c>
      <c r="B31" s="78" t="s">
        <v>122</v>
      </c>
      <c r="C31" s="15"/>
      <c r="D31" s="44"/>
      <c r="E31" s="44"/>
      <c r="F31" s="44"/>
      <c r="G31" s="44"/>
      <c r="I31" s="44">
        <f>G31+F31+E31</f>
        <v>0</v>
      </c>
      <c r="J31" s="44">
        <f t="shared" ref="J31:J36" si="35">E31</f>
        <v>0</v>
      </c>
      <c r="K31" s="44">
        <f t="shared" ref="K31:K36" si="36">I31-J31</f>
        <v>0</v>
      </c>
      <c r="M31" s="4"/>
      <c r="N31" s="4"/>
      <c r="O31" s="17"/>
      <c r="Q31" s="4"/>
      <c r="R31" s="4"/>
      <c r="S31" s="4"/>
      <c r="T31" s="4"/>
      <c r="U31" s="6"/>
      <c r="V31" s="7"/>
      <c r="W31" s="7"/>
      <c r="X31" s="1"/>
      <c r="Y31" s="16"/>
      <c r="Z31" s="16"/>
      <c r="AA31" s="16"/>
      <c r="AB31" s="16">
        <f>SUM(Y31:AA31)</f>
        <v>0</v>
      </c>
      <c r="AC31"/>
      <c r="AD31" s="4">
        <f>AB31+K31</f>
        <v>0</v>
      </c>
      <c r="AE31" s="4"/>
      <c r="AF31" s="4">
        <f t="shared" ref="AF31" si="37">AD31-AE31</f>
        <v>0</v>
      </c>
    </row>
    <row r="32" spans="1:32" ht="15" customHeight="1" x14ac:dyDescent="0.25">
      <c r="A32" s="248"/>
      <c r="B32" s="78" t="s">
        <v>123</v>
      </c>
      <c r="C32" s="15"/>
      <c r="D32" s="44"/>
      <c r="E32" s="44"/>
      <c r="F32" s="44"/>
      <c r="G32" s="44"/>
      <c r="I32" s="44">
        <f t="shared" ref="I32:I35" si="38">G32+F32+E32</f>
        <v>0</v>
      </c>
      <c r="J32" s="44">
        <f t="shared" ref="J32:J35" si="39">E32</f>
        <v>0</v>
      </c>
      <c r="K32" s="44">
        <f t="shared" ref="K32:K35" si="40">I32-J32</f>
        <v>0</v>
      </c>
      <c r="M32" s="4"/>
      <c r="N32" s="4"/>
      <c r="O32" s="17"/>
      <c r="Q32" s="4"/>
      <c r="R32" s="4"/>
      <c r="S32" s="4"/>
      <c r="T32" s="4"/>
      <c r="U32" s="6"/>
      <c r="V32" s="7"/>
      <c r="W32" s="7"/>
      <c r="X32" s="1"/>
      <c r="Y32" s="16"/>
      <c r="Z32" s="16"/>
      <c r="AA32" s="16"/>
      <c r="AB32" s="16">
        <f t="shared" ref="AB32:AB35" si="41">SUM(Y32:AA32)</f>
        <v>0</v>
      </c>
      <c r="AC32"/>
      <c r="AD32" s="4">
        <f t="shared" ref="AD32:AD35" si="42">AB32+K32</f>
        <v>0</v>
      </c>
      <c r="AE32" s="4"/>
      <c r="AF32" s="4">
        <f t="shared" ref="AF32:AF35" si="43">AD32-AE32</f>
        <v>0</v>
      </c>
    </row>
    <row r="33" spans="1:32" ht="15" customHeight="1" x14ac:dyDescent="0.25">
      <c r="A33" s="248"/>
      <c r="B33" s="78" t="s">
        <v>124</v>
      </c>
      <c r="C33" s="15"/>
      <c r="D33" s="44"/>
      <c r="E33" s="44"/>
      <c r="F33" s="44"/>
      <c r="G33" s="44"/>
      <c r="I33" s="44">
        <f t="shared" si="38"/>
        <v>0</v>
      </c>
      <c r="J33" s="44">
        <f t="shared" si="39"/>
        <v>0</v>
      </c>
      <c r="K33" s="44">
        <f t="shared" si="40"/>
        <v>0</v>
      </c>
      <c r="M33" s="4"/>
      <c r="N33" s="4"/>
      <c r="O33" s="17"/>
      <c r="Q33" s="4"/>
      <c r="R33" s="4"/>
      <c r="S33" s="4"/>
      <c r="T33" s="4"/>
      <c r="U33" s="6"/>
      <c r="V33" s="7"/>
      <c r="W33" s="7"/>
      <c r="X33" s="1"/>
      <c r="Y33" s="16"/>
      <c r="Z33" s="16"/>
      <c r="AA33" s="16"/>
      <c r="AB33" s="16">
        <f t="shared" si="41"/>
        <v>0</v>
      </c>
      <c r="AC33"/>
      <c r="AD33" s="4">
        <f t="shared" si="42"/>
        <v>0</v>
      </c>
      <c r="AE33" s="4"/>
      <c r="AF33" s="4">
        <f t="shared" si="43"/>
        <v>0</v>
      </c>
    </row>
    <row r="34" spans="1:32" ht="15" customHeight="1" x14ac:dyDescent="0.25">
      <c r="A34" s="248"/>
      <c r="B34" s="78" t="s">
        <v>25</v>
      </c>
      <c r="C34" s="15"/>
      <c r="D34" s="44"/>
      <c r="E34" s="44"/>
      <c r="F34" s="44"/>
      <c r="G34" s="44"/>
      <c r="I34" s="44">
        <f t="shared" si="38"/>
        <v>0</v>
      </c>
      <c r="J34" s="44">
        <f t="shared" si="39"/>
        <v>0</v>
      </c>
      <c r="K34" s="44">
        <f t="shared" si="40"/>
        <v>0</v>
      </c>
      <c r="M34" s="4"/>
      <c r="N34" s="4"/>
      <c r="O34" s="17"/>
      <c r="Q34" s="4"/>
      <c r="R34" s="4"/>
      <c r="S34" s="4"/>
      <c r="T34" s="4"/>
      <c r="U34" s="6"/>
      <c r="V34" s="7"/>
      <c r="W34" s="7"/>
      <c r="X34" s="1"/>
      <c r="Y34" s="16"/>
      <c r="Z34" s="16"/>
      <c r="AA34" s="16"/>
      <c r="AB34" s="16">
        <f t="shared" si="41"/>
        <v>0</v>
      </c>
      <c r="AC34"/>
      <c r="AD34" s="4">
        <f t="shared" si="42"/>
        <v>0</v>
      </c>
      <c r="AE34" s="4"/>
      <c r="AF34" s="4">
        <f t="shared" si="43"/>
        <v>0</v>
      </c>
    </row>
    <row r="35" spans="1:32" ht="15" customHeight="1" x14ac:dyDescent="0.25">
      <c r="A35" s="248"/>
      <c r="B35" s="78" t="s">
        <v>26</v>
      </c>
      <c r="C35" s="15"/>
      <c r="D35" s="44"/>
      <c r="E35" s="44"/>
      <c r="F35" s="44"/>
      <c r="G35" s="44"/>
      <c r="I35" s="44">
        <f t="shared" si="38"/>
        <v>0</v>
      </c>
      <c r="J35" s="44">
        <f t="shared" si="39"/>
        <v>0</v>
      </c>
      <c r="K35" s="44">
        <f t="shared" si="40"/>
        <v>0</v>
      </c>
      <c r="M35" s="4"/>
      <c r="N35" s="4"/>
      <c r="O35" s="17"/>
      <c r="Q35" s="4"/>
      <c r="R35" s="4"/>
      <c r="S35" s="4"/>
      <c r="T35" s="4"/>
      <c r="U35" s="6"/>
      <c r="V35" s="7"/>
      <c r="W35" s="7"/>
      <c r="X35" s="1"/>
      <c r="Y35" s="16"/>
      <c r="Z35" s="16"/>
      <c r="AA35" s="16"/>
      <c r="AB35" s="16">
        <f t="shared" si="41"/>
        <v>0</v>
      </c>
      <c r="AC35"/>
      <c r="AD35" s="4">
        <f t="shared" si="42"/>
        <v>0</v>
      </c>
      <c r="AE35" s="4"/>
      <c r="AF35" s="4">
        <f t="shared" si="43"/>
        <v>0</v>
      </c>
    </row>
    <row r="36" spans="1:32" ht="15" customHeight="1" thickBot="1" x14ac:dyDescent="0.3">
      <c r="A36" s="249"/>
      <c r="B36" s="78" t="s">
        <v>27</v>
      </c>
      <c r="C36" s="15"/>
      <c r="D36" s="44"/>
      <c r="E36" s="44"/>
      <c r="F36" s="44"/>
      <c r="G36" s="44"/>
      <c r="I36" s="44">
        <f>G36+F36+E36</f>
        <v>0</v>
      </c>
      <c r="J36" s="44">
        <f t="shared" si="35"/>
        <v>0</v>
      </c>
      <c r="K36" s="44">
        <f t="shared" si="36"/>
        <v>0</v>
      </c>
      <c r="M36" s="4"/>
      <c r="N36" s="4"/>
      <c r="O36" s="17"/>
      <c r="Q36" s="4"/>
      <c r="R36" s="4"/>
      <c r="S36" s="4"/>
      <c r="T36" s="4"/>
      <c r="U36" s="6"/>
      <c r="V36" s="7"/>
      <c r="W36" s="7"/>
      <c r="X36" s="1"/>
      <c r="Y36" s="16"/>
      <c r="Z36" s="16"/>
      <c r="AA36" s="16"/>
      <c r="AB36" s="16">
        <f>SUM(Y36:AA36)</f>
        <v>0</v>
      </c>
      <c r="AC36"/>
      <c r="AD36" s="4">
        <f>AB36+K36</f>
        <v>0</v>
      </c>
      <c r="AE36" s="4"/>
      <c r="AF36" s="4">
        <f t="shared" ref="AF36" si="44">AD36-AE36</f>
        <v>0</v>
      </c>
    </row>
    <row r="37" spans="1:32" ht="15" customHeight="1" thickBot="1" x14ac:dyDescent="0.3">
      <c r="A37" s="27"/>
      <c r="B37" s="80" t="s">
        <v>28</v>
      </c>
      <c r="C37" s="28"/>
      <c r="D37" s="107">
        <f t="shared" ref="D37:G37" si="45">SUM(D31:D36)</f>
        <v>0</v>
      </c>
      <c r="E37" s="107">
        <f t="shared" si="45"/>
        <v>0</v>
      </c>
      <c r="F37" s="107">
        <f t="shared" si="45"/>
        <v>0</v>
      </c>
      <c r="G37" s="107">
        <f t="shared" si="45"/>
        <v>0</v>
      </c>
      <c r="H37" s="28"/>
      <c r="I37" s="107">
        <f>SUM(I31:I36)</f>
        <v>0</v>
      </c>
      <c r="J37" s="107">
        <f>SUM(J31:J36)</f>
        <v>0</v>
      </c>
      <c r="K37" s="107">
        <f>SUM(K31:K36)</f>
        <v>0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36">
        <f>SUM(Y31:Y36)</f>
        <v>0</v>
      </c>
      <c r="Z37" s="36">
        <f>SUM(Z31:Z36)</f>
        <v>0</v>
      </c>
      <c r="AA37" s="36">
        <f>SUM(AA31:AA36)</f>
        <v>0</v>
      </c>
      <c r="AB37" s="36">
        <f>SUM(AB31:AB36)</f>
        <v>0</v>
      </c>
      <c r="AC37"/>
      <c r="AD37" s="70">
        <f>SUM(AD31:AD36)</f>
        <v>0</v>
      </c>
      <c r="AE37" s="70">
        <f>SUM(AE31:AE36)</f>
        <v>0</v>
      </c>
      <c r="AF37" s="70">
        <f>SUM(AF31:AF36)</f>
        <v>0</v>
      </c>
    </row>
    <row r="38" spans="1:32" x14ac:dyDescent="0.25">
      <c r="A38" s="19"/>
      <c r="B38" s="58"/>
      <c r="C38" s="20"/>
      <c r="D38" s="21"/>
      <c r="E38" s="21"/>
      <c r="F38" s="21"/>
      <c r="G38" s="21"/>
      <c r="H38" s="22"/>
      <c r="I38" s="21"/>
      <c r="J38" s="21"/>
      <c r="K38" s="21"/>
      <c r="L38" s="22"/>
      <c r="M38" s="26"/>
      <c r="N38" s="26"/>
      <c r="O38" s="26"/>
      <c r="P38" s="22"/>
      <c r="Q38" s="26"/>
      <c r="R38" s="26"/>
      <c r="S38" s="26"/>
      <c r="T38" s="26"/>
      <c r="U38" s="26"/>
      <c r="V38" s="26"/>
      <c r="W38" s="25"/>
      <c r="X38" s="22"/>
      <c r="Y38" s="21"/>
      <c r="Z38" s="21"/>
      <c r="AA38" s="21"/>
      <c r="AB38" s="21"/>
      <c r="AC38"/>
      <c r="AD38" s="21"/>
      <c r="AE38" s="21"/>
      <c r="AF38" s="24"/>
    </row>
    <row r="39" spans="1:32" ht="15" customHeight="1" x14ac:dyDescent="0.25">
      <c r="A39" s="255" t="s">
        <v>29</v>
      </c>
      <c r="B39" s="78" t="s">
        <v>125</v>
      </c>
      <c r="C39" s="15"/>
      <c r="D39" s="16"/>
      <c r="E39" s="16"/>
      <c r="F39" s="16"/>
      <c r="G39" s="16"/>
      <c r="I39" s="16">
        <f t="shared" ref="I39" si="46">H39+G39</f>
        <v>0</v>
      </c>
      <c r="J39" s="16">
        <f t="shared" ref="J39:J48" si="47">E39</f>
        <v>0</v>
      </c>
      <c r="K39" s="16">
        <f t="shared" ref="K39" si="48">J39+I39</f>
        <v>0</v>
      </c>
      <c r="M39" s="4"/>
      <c r="N39" s="4"/>
      <c r="O39" s="17"/>
      <c r="P39" s="22"/>
      <c r="Q39" s="4"/>
      <c r="R39" s="4"/>
      <c r="S39" s="4"/>
      <c r="T39" s="4"/>
      <c r="U39" s="6"/>
      <c r="V39" s="7"/>
      <c r="W39" s="7"/>
      <c r="X39" s="1"/>
      <c r="Y39" s="16"/>
      <c r="Z39" s="16"/>
      <c r="AA39" s="16"/>
      <c r="AB39" s="16">
        <f>SUM(Y39:AA39)</f>
        <v>0</v>
      </c>
      <c r="AC39"/>
      <c r="AD39" s="4">
        <f>AB39+G39+F39+E39</f>
        <v>0</v>
      </c>
      <c r="AE39" s="4"/>
      <c r="AF39" s="4">
        <f t="shared" ref="AF39:AF48" si="49">AD39-AE39</f>
        <v>0</v>
      </c>
    </row>
    <row r="40" spans="1:32" x14ac:dyDescent="0.25">
      <c r="A40" s="255"/>
      <c r="B40" s="78" t="s">
        <v>126</v>
      </c>
      <c r="C40" s="15"/>
      <c r="D40" s="16"/>
      <c r="E40" s="16"/>
      <c r="F40" s="16"/>
      <c r="G40" s="16"/>
      <c r="I40" s="16">
        <f t="shared" ref="I40:I46" si="50">H40+G40</f>
        <v>0</v>
      </c>
      <c r="J40" s="16">
        <f t="shared" ref="J40:J46" si="51">E40</f>
        <v>0</v>
      </c>
      <c r="K40" s="16">
        <f t="shared" ref="K40:K46" si="52">J40+I40</f>
        <v>0</v>
      </c>
      <c r="M40" s="4"/>
      <c r="N40" s="4"/>
      <c r="O40" s="17"/>
      <c r="P40" s="22"/>
      <c r="Q40" s="4"/>
      <c r="R40" s="4"/>
      <c r="S40" s="4"/>
      <c r="T40" s="4"/>
      <c r="U40" s="6"/>
      <c r="V40" s="7"/>
      <c r="W40" s="7"/>
      <c r="X40" s="1"/>
      <c r="Y40" s="16"/>
      <c r="Z40" s="16"/>
      <c r="AA40" s="16"/>
      <c r="AB40" s="16">
        <f t="shared" ref="AB40:AB46" si="53">SUM(Y40:AA40)</f>
        <v>0</v>
      </c>
      <c r="AC40"/>
      <c r="AD40" s="4">
        <f t="shared" ref="AD40:AD46" si="54">AB40+G40+F40+E40</f>
        <v>0</v>
      </c>
      <c r="AE40" s="4"/>
      <c r="AF40" s="4">
        <f t="shared" ref="AF40:AF46" si="55">AD40-AE40</f>
        <v>0</v>
      </c>
    </row>
    <row r="41" spans="1:32" x14ac:dyDescent="0.25">
      <c r="A41" s="255"/>
      <c r="B41" s="78" t="s">
        <v>30</v>
      </c>
      <c r="C41" s="15"/>
      <c r="D41" s="16"/>
      <c r="E41" s="16"/>
      <c r="F41" s="16"/>
      <c r="G41" s="16"/>
      <c r="I41" s="16">
        <f t="shared" si="50"/>
        <v>0</v>
      </c>
      <c r="J41" s="16">
        <f t="shared" si="51"/>
        <v>0</v>
      </c>
      <c r="K41" s="16">
        <f t="shared" si="52"/>
        <v>0</v>
      </c>
      <c r="M41" s="4"/>
      <c r="N41" s="4"/>
      <c r="O41" s="17"/>
      <c r="P41" s="22"/>
      <c r="Q41" s="4"/>
      <c r="R41" s="4"/>
      <c r="S41" s="4"/>
      <c r="T41" s="4"/>
      <c r="U41" s="6"/>
      <c r="V41" s="7"/>
      <c r="W41" s="7"/>
      <c r="X41" s="1"/>
      <c r="Y41" s="16"/>
      <c r="Z41" s="16"/>
      <c r="AA41" s="16"/>
      <c r="AB41" s="16">
        <f t="shared" si="53"/>
        <v>0</v>
      </c>
      <c r="AC41"/>
      <c r="AD41" s="4">
        <f t="shared" si="54"/>
        <v>0</v>
      </c>
      <c r="AE41" s="4"/>
      <c r="AF41" s="4">
        <f t="shared" si="55"/>
        <v>0</v>
      </c>
    </row>
    <row r="42" spans="1:32" x14ac:dyDescent="0.25">
      <c r="A42" s="255"/>
      <c r="B42" s="78" t="s">
        <v>31</v>
      </c>
      <c r="C42" s="15"/>
      <c r="D42" s="16"/>
      <c r="E42" s="16"/>
      <c r="F42" s="16"/>
      <c r="G42" s="16"/>
      <c r="I42" s="16">
        <f t="shared" si="50"/>
        <v>0</v>
      </c>
      <c r="J42" s="16">
        <f t="shared" si="51"/>
        <v>0</v>
      </c>
      <c r="K42" s="16">
        <f t="shared" si="52"/>
        <v>0</v>
      </c>
      <c r="M42" s="4"/>
      <c r="N42" s="4"/>
      <c r="O42" s="17"/>
      <c r="P42" s="22"/>
      <c r="Q42" s="4"/>
      <c r="R42" s="4"/>
      <c r="S42" s="4"/>
      <c r="T42" s="4"/>
      <c r="U42" s="6"/>
      <c r="V42" s="7"/>
      <c r="W42" s="7"/>
      <c r="X42" s="1"/>
      <c r="Y42" s="16"/>
      <c r="Z42" s="16"/>
      <c r="AA42" s="16"/>
      <c r="AB42" s="16">
        <f t="shared" si="53"/>
        <v>0</v>
      </c>
      <c r="AC42"/>
      <c r="AD42" s="4">
        <f t="shared" si="54"/>
        <v>0</v>
      </c>
      <c r="AE42" s="4"/>
      <c r="AF42" s="4">
        <f t="shared" si="55"/>
        <v>0</v>
      </c>
    </row>
    <row r="43" spans="1:32" x14ac:dyDescent="0.25">
      <c r="A43" s="255"/>
      <c r="B43" s="78" t="s">
        <v>127</v>
      </c>
      <c r="C43" s="15"/>
      <c r="D43" s="16"/>
      <c r="E43" s="16"/>
      <c r="F43" s="16"/>
      <c r="G43" s="16"/>
      <c r="I43" s="16">
        <f t="shared" si="50"/>
        <v>0</v>
      </c>
      <c r="J43" s="16">
        <f t="shared" si="51"/>
        <v>0</v>
      </c>
      <c r="K43" s="16">
        <f t="shared" si="52"/>
        <v>0</v>
      </c>
      <c r="M43" s="4"/>
      <c r="N43" s="4"/>
      <c r="O43" s="17"/>
      <c r="P43" s="22"/>
      <c r="Q43" s="4"/>
      <c r="R43" s="4"/>
      <c r="S43" s="4"/>
      <c r="T43" s="4"/>
      <c r="U43" s="6"/>
      <c r="V43" s="7"/>
      <c r="W43" s="7"/>
      <c r="X43" s="1"/>
      <c r="Y43" s="16"/>
      <c r="Z43" s="16"/>
      <c r="AA43" s="16"/>
      <c r="AB43" s="16">
        <f t="shared" si="53"/>
        <v>0</v>
      </c>
      <c r="AC43"/>
      <c r="AD43" s="4">
        <f t="shared" si="54"/>
        <v>0</v>
      </c>
      <c r="AE43" s="4"/>
      <c r="AF43" s="4">
        <f t="shared" si="55"/>
        <v>0</v>
      </c>
    </row>
    <row r="44" spans="1:32" x14ac:dyDescent="0.25">
      <c r="A44" s="255"/>
      <c r="B44" s="78" t="s">
        <v>128</v>
      </c>
      <c r="C44" s="15"/>
      <c r="D44" s="16"/>
      <c r="E44" s="16"/>
      <c r="F44" s="16"/>
      <c r="G44" s="16"/>
      <c r="I44" s="16">
        <f t="shared" si="50"/>
        <v>0</v>
      </c>
      <c r="J44" s="16">
        <f t="shared" si="51"/>
        <v>0</v>
      </c>
      <c r="K44" s="16">
        <f t="shared" si="52"/>
        <v>0</v>
      </c>
      <c r="M44" s="4"/>
      <c r="N44" s="4"/>
      <c r="O44" s="17"/>
      <c r="P44" s="22"/>
      <c r="Q44" s="4"/>
      <c r="R44" s="4"/>
      <c r="S44" s="4"/>
      <c r="T44" s="4"/>
      <c r="U44" s="6"/>
      <c r="V44" s="7"/>
      <c r="W44" s="7"/>
      <c r="X44" s="1"/>
      <c r="Y44" s="16"/>
      <c r="Z44" s="16"/>
      <c r="AA44" s="16"/>
      <c r="AB44" s="16">
        <f t="shared" si="53"/>
        <v>0</v>
      </c>
      <c r="AC44"/>
      <c r="AD44" s="4">
        <f t="shared" si="54"/>
        <v>0</v>
      </c>
      <c r="AE44" s="4"/>
      <c r="AF44" s="4">
        <f t="shared" si="55"/>
        <v>0</v>
      </c>
    </row>
    <row r="45" spans="1:32" x14ac:dyDescent="0.25">
      <c r="A45" s="255"/>
      <c r="B45" s="78" t="s">
        <v>51</v>
      </c>
      <c r="C45" s="15"/>
      <c r="D45" s="16"/>
      <c r="E45" s="16"/>
      <c r="F45" s="16"/>
      <c r="G45" s="16"/>
      <c r="I45" s="16">
        <f t="shared" si="50"/>
        <v>0</v>
      </c>
      <c r="J45" s="16">
        <f t="shared" si="51"/>
        <v>0</v>
      </c>
      <c r="K45" s="16">
        <f t="shared" si="52"/>
        <v>0</v>
      </c>
      <c r="M45" s="4"/>
      <c r="N45" s="4"/>
      <c r="O45" s="17"/>
      <c r="P45" s="22"/>
      <c r="Q45" s="4"/>
      <c r="R45" s="4"/>
      <c r="S45" s="4"/>
      <c r="T45" s="4"/>
      <c r="U45" s="6"/>
      <c r="V45" s="7"/>
      <c r="W45" s="7"/>
      <c r="X45" s="1"/>
      <c r="Y45" s="16"/>
      <c r="Z45" s="16"/>
      <c r="AA45" s="16"/>
      <c r="AB45" s="16">
        <f t="shared" si="53"/>
        <v>0</v>
      </c>
      <c r="AC45"/>
      <c r="AD45" s="4">
        <f t="shared" si="54"/>
        <v>0</v>
      </c>
      <c r="AE45" s="4"/>
      <c r="AF45" s="4">
        <f t="shared" si="55"/>
        <v>0</v>
      </c>
    </row>
    <row r="46" spans="1:32" x14ac:dyDescent="0.25">
      <c r="A46" s="255"/>
      <c r="B46" s="78" t="s">
        <v>52</v>
      </c>
      <c r="C46" s="15"/>
      <c r="D46" s="16"/>
      <c r="E46" s="16"/>
      <c r="F46" s="16"/>
      <c r="G46" s="16"/>
      <c r="I46" s="16">
        <f t="shared" si="50"/>
        <v>0</v>
      </c>
      <c r="J46" s="16">
        <f t="shared" si="51"/>
        <v>0</v>
      </c>
      <c r="K46" s="16">
        <f t="shared" si="52"/>
        <v>0</v>
      </c>
      <c r="M46" s="4"/>
      <c r="N46" s="4"/>
      <c r="O46" s="17"/>
      <c r="P46" s="22"/>
      <c r="Q46" s="4"/>
      <c r="R46" s="4"/>
      <c r="S46" s="4"/>
      <c r="T46" s="4"/>
      <c r="U46" s="6"/>
      <c r="V46" s="7"/>
      <c r="W46" s="7"/>
      <c r="X46" s="1"/>
      <c r="Y46" s="16"/>
      <c r="Z46" s="16"/>
      <c r="AA46" s="16"/>
      <c r="AB46" s="16">
        <f t="shared" si="53"/>
        <v>0</v>
      </c>
      <c r="AC46"/>
      <c r="AD46" s="4">
        <f t="shared" si="54"/>
        <v>0</v>
      </c>
      <c r="AE46" s="4"/>
      <c r="AF46" s="4">
        <f t="shared" si="55"/>
        <v>0</v>
      </c>
    </row>
    <row r="47" spans="1:32" x14ac:dyDescent="0.25">
      <c r="A47" s="255"/>
      <c r="B47" s="120" t="s">
        <v>129</v>
      </c>
      <c r="C47" s="112"/>
      <c r="D47" s="121"/>
      <c r="E47" s="121"/>
      <c r="F47" s="121"/>
      <c r="G47" s="121"/>
      <c r="H47" s="114"/>
      <c r="I47" s="121">
        <f>G47+F47+E47</f>
        <v>0</v>
      </c>
      <c r="J47" s="121">
        <f t="shared" si="47"/>
        <v>0</v>
      </c>
      <c r="K47" s="121">
        <f t="shared" ref="K47:K48" si="56">I47-J47</f>
        <v>0</v>
      </c>
      <c r="L47" s="114"/>
      <c r="M47" s="118"/>
      <c r="N47" s="118"/>
      <c r="O47" s="118"/>
      <c r="P47" s="114"/>
      <c r="Q47" s="118"/>
      <c r="R47" s="118"/>
      <c r="S47" s="118"/>
      <c r="T47" s="118"/>
      <c r="U47" s="122"/>
      <c r="V47" s="123"/>
      <c r="W47" s="123"/>
      <c r="X47" s="114"/>
      <c r="Y47" s="121"/>
      <c r="Z47" s="121"/>
      <c r="AA47" s="121">
        <v>9</v>
      </c>
      <c r="AB47" s="121"/>
      <c r="AC47"/>
      <c r="AD47" s="119">
        <f>AB47+K47</f>
        <v>0</v>
      </c>
      <c r="AE47" s="118"/>
      <c r="AF47" s="118">
        <f t="shared" si="49"/>
        <v>0</v>
      </c>
    </row>
    <row r="48" spans="1:32" ht="15.75" thickBot="1" x14ac:dyDescent="0.3">
      <c r="A48" s="255"/>
      <c r="B48" s="78" t="s">
        <v>130</v>
      </c>
      <c r="C48" s="15"/>
      <c r="D48" s="63"/>
      <c r="E48" s="63"/>
      <c r="F48" s="63"/>
      <c r="G48" s="63"/>
      <c r="I48" s="63">
        <f>G48+F48+E48</f>
        <v>0</v>
      </c>
      <c r="J48" s="63">
        <f t="shared" si="47"/>
        <v>0</v>
      </c>
      <c r="K48" s="63">
        <f t="shared" si="56"/>
        <v>0</v>
      </c>
      <c r="M48" s="4"/>
      <c r="N48" s="4"/>
      <c r="O48" s="17"/>
      <c r="P48" s="22"/>
      <c r="Q48" s="4"/>
      <c r="R48" s="4"/>
      <c r="S48" s="4"/>
      <c r="T48" s="4"/>
      <c r="U48" s="8"/>
      <c r="V48" s="7"/>
      <c r="W48" s="7"/>
      <c r="X48" s="1"/>
      <c r="Y48" s="63"/>
      <c r="Z48" s="63"/>
      <c r="AA48" s="63"/>
      <c r="AB48" s="63">
        <f>SUM(Y48:AA48)</f>
        <v>0</v>
      </c>
      <c r="AC48"/>
      <c r="AD48" s="67">
        <f>AB48+K48</f>
        <v>0</v>
      </c>
      <c r="AE48" s="65"/>
      <c r="AF48" s="65">
        <f t="shared" si="49"/>
        <v>0</v>
      </c>
    </row>
    <row r="49" spans="1:32" ht="15.75" thickBot="1" x14ac:dyDescent="0.3">
      <c r="A49" s="9"/>
      <c r="B49" s="77" t="s">
        <v>32</v>
      </c>
      <c r="C49" s="29"/>
      <c r="D49" s="36">
        <f>SUM(D39:D48)</f>
        <v>0</v>
      </c>
      <c r="E49" s="36">
        <f>SUM(E39:E48)</f>
        <v>0</v>
      </c>
      <c r="F49" s="36">
        <f>SUM(F39:F48)</f>
        <v>0</v>
      </c>
      <c r="G49" s="70">
        <f>SUM(G39:G48)</f>
        <v>0</v>
      </c>
      <c r="H49" s="10"/>
      <c r="I49" s="70">
        <f>SUM(I39:I48)</f>
        <v>0</v>
      </c>
      <c r="J49" s="70">
        <f>SUM(J39:J48)</f>
        <v>0</v>
      </c>
      <c r="K49" s="70">
        <f>SUM(K39:K48)</f>
        <v>0</v>
      </c>
      <c r="L49" s="10"/>
      <c r="M49" s="26"/>
      <c r="N49" s="26"/>
      <c r="O49" s="26"/>
      <c r="P49" s="22"/>
      <c r="Q49" s="26"/>
      <c r="R49" s="26"/>
      <c r="S49" s="26"/>
      <c r="T49" s="26"/>
      <c r="U49" s="25"/>
      <c r="V49" s="25"/>
      <c r="W49" s="25"/>
      <c r="X49" s="10"/>
      <c r="Y49" s="36">
        <f>SUM(Y39:Y48)</f>
        <v>0</v>
      </c>
      <c r="Z49" s="36">
        <f>SUM(Z39:Z48)</f>
        <v>0</v>
      </c>
      <c r="AA49" s="36">
        <f>SUM(AA39:AA48)</f>
        <v>9</v>
      </c>
      <c r="AB49" s="36">
        <f>SUM(AB39:AB48)</f>
        <v>0</v>
      </c>
      <c r="AC49"/>
      <c r="AD49" s="36">
        <f>SUM(AD39:AD48)</f>
        <v>0</v>
      </c>
      <c r="AE49" s="36">
        <f>SUM(AE39:AE48)</f>
        <v>0</v>
      </c>
      <c r="AF49" s="36">
        <f>SUM(AF39:AF48)</f>
        <v>0</v>
      </c>
    </row>
    <row r="50" spans="1:32" ht="15.75" thickBot="1" x14ac:dyDescent="0.3">
      <c r="A50" s="19"/>
      <c r="B50" s="58"/>
      <c r="C50" s="20"/>
      <c r="D50" s="21"/>
      <c r="E50" s="21"/>
      <c r="F50" s="21"/>
      <c r="G50" s="21"/>
      <c r="H50" s="22"/>
      <c r="I50" s="21"/>
      <c r="J50" s="21"/>
      <c r="K50" s="21"/>
      <c r="L50" s="22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2"/>
      <c r="Y50" s="21"/>
      <c r="Z50" s="21"/>
      <c r="AA50" s="21"/>
      <c r="AB50" s="21"/>
      <c r="AC50"/>
      <c r="AD50" s="21"/>
      <c r="AE50" s="21"/>
      <c r="AF50" s="24"/>
    </row>
    <row r="51" spans="1:32" x14ac:dyDescent="0.25">
      <c r="A51" s="253" t="s">
        <v>33</v>
      </c>
      <c r="B51" s="78" t="s">
        <v>34</v>
      </c>
      <c r="C51" s="15"/>
      <c r="D51" s="16"/>
      <c r="E51" s="16"/>
      <c r="F51" s="16"/>
      <c r="G51" s="16"/>
      <c r="I51" s="16">
        <f t="shared" ref="I51:I58" si="57">G51+F51+E51</f>
        <v>0</v>
      </c>
      <c r="J51" s="16">
        <f t="shared" ref="J51:J58" si="58">E51</f>
        <v>0</v>
      </c>
      <c r="K51" s="16">
        <f t="shared" ref="K51:K58" si="59">I51-J51</f>
        <v>0</v>
      </c>
      <c r="M51" s="4"/>
      <c r="N51" s="4"/>
      <c r="O51" s="17"/>
      <c r="Q51" s="4"/>
      <c r="R51" s="4"/>
      <c r="S51" s="4"/>
      <c r="T51" s="4"/>
      <c r="U51" s="6"/>
      <c r="V51" s="7"/>
      <c r="W51" s="7"/>
      <c r="X51" s="1"/>
      <c r="Y51" s="16"/>
      <c r="Z51" s="16"/>
      <c r="AA51" s="16"/>
      <c r="AB51" s="16">
        <f t="shared" ref="AB51:AB58" si="60">SUM(Y51:AA51)</f>
        <v>0</v>
      </c>
      <c r="AC51"/>
      <c r="AD51" s="4">
        <f t="shared" ref="AD51:AD58" si="61">AB51+K51</f>
        <v>0</v>
      </c>
      <c r="AE51" s="4"/>
      <c r="AF51" s="4">
        <f t="shared" ref="AF51:AF58" si="62">AD51-AE51</f>
        <v>0</v>
      </c>
    </row>
    <row r="52" spans="1:32" x14ac:dyDescent="0.25">
      <c r="A52" s="254"/>
      <c r="B52" s="78" t="s">
        <v>35</v>
      </c>
      <c r="C52" s="15"/>
      <c r="D52" s="16"/>
      <c r="E52" s="16"/>
      <c r="F52" s="16"/>
      <c r="G52" s="16"/>
      <c r="I52" s="16">
        <f t="shared" ref="I52:I56" si="63">G52+F52+E52</f>
        <v>0</v>
      </c>
      <c r="J52" s="16">
        <f t="shared" ref="J52:J56" si="64">E52</f>
        <v>0</v>
      </c>
      <c r="K52" s="16">
        <f t="shared" ref="K52:K56" si="65">I52-J52</f>
        <v>0</v>
      </c>
      <c r="M52" s="4"/>
      <c r="N52" s="4"/>
      <c r="O52" s="17"/>
      <c r="Q52" s="4"/>
      <c r="R52" s="4"/>
      <c r="S52" s="4"/>
      <c r="T52" s="4"/>
      <c r="U52" s="6"/>
      <c r="V52" s="7"/>
      <c r="W52" s="7"/>
      <c r="X52" s="1"/>
      <c r="Y52" s="16"/>
      <c r="Z52" s="16"/>
      <c r="AA52" s="16"/>
      <c r="AB52" s="16">
        <f t="shared" ref="AB52:AB56" si="66">SUM(Y52:AA52)</f>
        <v>0</v>
      </c>
      <c r="AC52"/>
      <c r="AD52" s="4">
        <f t="shared" ref="AD52:AD56" si="67">AB52+K52</f>
        <v>0</v>
      </c>
      <c r="AE52" s="4"/>
      <c r="AF52" s="4">
        <f t="shared" ref="AF52:AF56" si="68">AD52-AE52</f>
        <v>0</v>
      </c>
    </row>
    <row r="53" spans="1:32" x14ac:dyDescent="0.25">
      <c r="A53" s="254"/>
      <c r="B53" s="78" t="s">
        <v>36</v>
      </c>
      <c r="C53" s="15"/>
      <c r="D53" s="16"/>
      <c r="E53" s="16"/>
      <c r="F53" s="16"/>
      <c r="G53" s="16"/>
      <c r="I53" s="16">
        <f t="shared" si="63"/>
        <v>0</v>
      </c>
      <c r="J53" s="16">
        <f t="shared" si="64"/>
        <v>0</v>
      </c>
      <c r="K53" s="16">
        <f t="shared" si="65"/>
        <v>0</v>
      </c>
      <c r="M53" s="4"/>
      <c r="N53" s="4"/>
      <c r="O53" s="17"/>
      <c r="Q53" s="4"/>
      <c r="R53" s="4"/>
      <c r="S53" s="4"/>
      <c r="T53" s="4"/>
      <c r="U53" s="6"/>
      <c r="V53" s="7"/>
      <c r="W53" s="7"/>
      <c r="X53" s="1"/>
      <c r="Y53" s="16"/>
      <c r="Z53" s="16"/>
      <c r="AA53" s="16"/>
      <c r="AB53" s="16">
        <f t="shared" si="66"/>
        <v>0</v>
      </c>
      <c r="AC53"/>
      <c r="AD53" s="4">
        <f t="shared" si="67"/>
        <v>0</v>
      </c>
      <c r="AE53" s="4"/>
      <c r="AF53" s="4">
        <f t="shared" si="68"/>
        <v>0</v>
      </c>
    </row>
    <row r="54" spans="1:32" x14ac:dyDescent="0.25">
      <c r="A54" s="254"/>
      <c r="B54" s="78" t="s">
        <v>37</v>
      </c>
      <c r="C54" s="15"/>
      <c r="D54" s="16"/>
      <c r="E54" s="16"/>
      <c r="F54" s="16"/>
      <c r="G54" s="16"/>
      <c r="I54" s="16">
        <f t="shared" si="63"/>
        <v>0</v>
      </c>
      <c r="J54" s="16">
        <f t="shared" si="64"/>
        <v>0</v>
      </c>
      <c r="K54" s="16">
        <f t="shared" si="65"/>
        <v>0</v>
      </c>
      <c r="M54" s="4"/>
      <c r="N54" s="4"/>
      <c r="O54" s="17"/>
      <c r="Q54" s="4"/>
      <c r="R54" s="4"/>
      <c r="S54" s="4"/>
      <c r="T54" s="4"/>
      <c r="U54" s="6"/>
      <c r="V54" s="7"/>
      <c r="W54" s="7"/>
      <c r="X54" s="1"/>
      <c r="Y54" s="16"/>
      <c r="Z54" s="16"/>
      <c r="AA54" s="16"/>
      <c r="AB54" s="16">
        <f t="shared" si="66"/>
        <v>0</v>
      </c>
      <c r="AC54"/>
      <c r="AD54" s="4">
        <f t="shared" si="67"/>
        <v>0</v>
      </c>
      <c r="AE54" s="4"/>
      <c r="AF54" s="4">
        <f t="shared" si="68"/>
        <v>0</v>
      </c>
    </row>
    <row r="55" spans="1:32" x14ac:dyDescent="0.25">
      <c r="A55" s="254"/>
      <c r="B55" s="78" t="s">
        <v>46</v>
      </c>
      <c r="C55" s="15"/>
      <c r="D55" s="16"/>
      <c r="E55" s="16"/>
      <c r="F55" s="16"/>
      <c r="G55" s="16"/>
      <c r="I55" s="16">
        <f t="shared" si="63"/>
        <v>0</v>
      </c>
      <c r="J55" s="16">
        <f t="shared" si="64"/>
        <v>0</v>
      </c>
      <c r="K55" s="16">
        <f t="shared" si="65"/>
        <v>0</v>
      </c>
      <c r="M55" s="4"/>
      <c r="N55" s="4"/>
      <c r="O55" s="17"/>
      <c r="Q55" s="4"/>
      <c r="R55" s="4"/>
      <c r="S55" s="4"/>
      <c r="T55" s="4"/>
      <c r="U55" s="6"/>
      <c r="V55" s="7"/>
      <c r="W55" s="7"/>
      <c r="X55" s="1"/>
      <c r="Y55" s="16"/>
      <c r="Z55" s="16"/>
      <c r="AA55" s="16"/>
      <c r="AB55" s="16">
        <f t="shared" si="66"/>
        <v>0</v>
      </c>
      <c r="AC55"/>
      <c r="AD55" s="4">
        <f t="shared" si="67"/>
        <v>0</v>
      </c>
      <c r="AE55" s="4"/>
      <c r="AF55" s="4">
        <f t="shared" si="68"/>
        <v>0</v>
      </c>
    </row>
    <row r="56" spans="1:32" x14ac:dyDescent="0.25">
      <c r="A56" s="254"/>
      <c r="B56" s="78" t="s">
        <v>131</v>
      </c>
      <c r="C56" s="15"/>
      <c r="D56" s="16"/>
      <c r="E56" s="16"/>
      <c r="F56" s="16"/>
      <c r="G56" s="16"/>
      <c r="I56" s="16">
        <f t="shared" si="63"/>
        <v>0</v>
      </c>
      <c r="J56" s="16">
        <f t="shared" si="64"/>
        <v>0</v>
      </c>
      <c r="K56" s="16">
        <f t="shared" si="65"/>
        <v>0</v>
      </c>
      <c r="M56" s="4"/>
      <c r="N56" s="4"/>
      <c r="O56" s="17"/>
      <c r="Q56" s="4"/>
      <c r="R56" s="4"/>
      <c r="S56" s="4"/>
      <c r="T56" s="4"/>
      <c r="U56" s="6"/>
      <c r="V56" s="7"/>
      <c r="W56" s="7"/>
      <c r="X56" s="1"/>
      <c r="Y56" s="16"/>
      <c r="Z56" s="16"/>
      <c r="AA56" s="16"/>
      <c r="AB56" s="16">
        <f t="shared" si="66"/>
        <v>0</v>
      </c>
      <c r="AC56"/>
      <c r="AD56" s="4">
        <f t="shared" si="67"/>
        <v>0</v>
      </c>
      <c r="AE56" s="4"/>
      <c r="AF56" s="4">
        <f t="shared" si="68"/>
        <v>0</v>
      </c>
    </row>
    <row r="57" spans="1:32" x14ac:dyDescent="0.25">
      <c r="A57" s="254"/>
      <c r="B57" s="120" t="s">
        <v>53</v>
      </c>
      <c r="C57" s="112"/>
      <c r="D57" s="113"/>
      <c r="E57" s="113"/>
      <c r="F57" s="113"/>
      <c r="G57" s="121"/>
      <c r="H57" s="114"/>
      <c r="I57" s="121">
        <f t="shared" si="57"/>
        <v>0</v>
      </c>
      <c r="J57" s="121">
        <f t="shared" si="58"/>
        <v>0</v>
      </c>
      <c r="K57" s="121">
        <f t="shared" si="59"/>
        <v>0</v>
      </c>
      <c r="L57" s="114"/>
      <c r="M57" s="118"/>
      <c r="N57" s="118"/>
      <c r="O57" s="118"/>
      <c r="P57" s="114"/>
      <c r="Q57" s="118"/>
      <c r="R57" s="118"/>
      <c r="S57" s="118"/>
      <c r="T57" s="118"/>
      <c r="U57" s="122"/>
      <c r="V57" s="123"/>
      <c r="W57" s="123"/>
      <c r="X57" s="114"/>
      <c r="Y57" s="121"/>
      <c r="Z57" s="121"/>
      <c r="AA57" s="121">
        <v>227</v>
      </c>
      <c r="AB57" s="121"/>
      <c r="AC57"/>
      <c r="AD57" s="119">
        <f t="shared" si="61"/>
        <v>0</v>
      </c>
      <c r="AE57" s="118"/>
      <c r="AF57" s="118">
        <f t="shared" si="62"/>
        <v>0</v>
      </c>
    </row>
    <row r="58" spans="1:32" ht="15.75" thickBot="1" x14ac:dyDescent="0.3">
      <c r="A58" s="254"/>
      <c r="B58" s="78" t="s">
        <v>132</v>
      </c>
      <c r="C58" s="15"/>
      <c r="D58" s="44"/>
      <c r="E58" s="44"/>
      <c r="F58" s="44"/>
      <c r="G58" s="16"/>
      <c r="I58" s="16">
        <f t="shared" si="57"/>
        <v>0</v>
      </c>
      <c r="J58" s="16">
        <f t="shared" si="58"/>
        <v>0</v>
      </c>
      <c r="K58" s="16">
        <f t="shared" si="59"/>
        <v>0</v>
      </c>
      <c r="M58" s="4"/>
      <c r="N58" s="4"/>
      <c r="O58" s="17"/>
      <c r="Q58" s="4"/>
      <c r="R58" s="4"/>
      <c r="S58" s="4"/>
      <c r="T58" s="4"/>
      <c r="U58" s="8"/>
      <c r="V58" s="7"/>
      <c r="W58" s="7"/>
      <c r="X58" s="1"/>
      <c r="Y58" s="16"/>
      <c r="Z58" s="16"/>
      <c r="AA58" s="16"/>
      <c r="AB58" s="16">
        <f t="shared" si="60"/>
        <v>0</v>
      </c>
      <c r="AC58"/>
      <c r="AD58" s="46">
        <f t="shared" si="61"/>
        <v>0</v>
      </c>
      <c r="AE58" s="4"/>
      <c r="AF58" s="4">
        <f t="shared" si="62"/>
        <v>0</v>
      </c>
    </row>
    <row r="59" spans="1:32" ht="15.75" thickBot="1" x14ac:dyDescent="0.3">
      <c r="A59" s="9"/>
      <c r="B59" s="77" t="s">
        <v>38</v>
      </c>
      <c r="C59" s="29"/>
      <c r="D59" s="36">
        <f t="shared" ref="D59:F59" si="69">SUM(D51:D58)</f>
        <v>0</v>
      </c>
      <c r="E59" s="37">
        <f t="shared" si="69"/>
        <v>0</v>
      </c>
      <c r="F59" s="37">
        <f t="shared" si="69"/>
        <v>0</v>
      </c>
      <c r="G59" s="37">
        <f>SUM(G51:G58)</f>
        <v>0</v>
      </c>
      <c r="H59" s="10"/>
      <c r="I59" s="37">
        <f t="shared" ref="I59:K59" si="70">SUM(I51:I58)</f>
        <v>0</v>
      </c>
      <c r="J59" s="37">
        <f t="shared" si="70"/>
        <v>0</v>
      </c>
      <c r="K59" s="37">
        <f t="shared" si="70"/>
        <v>0</v>
      </c>
      <c r="L59" s="10"/>
      <c r="M59" s="26"/>
      <c r="N59" s="26"/>
      <c r="O59" s="26"/>
      <c r="P59" s="22"/>
      <c r="Q59" s="26"/>
      <c r="R59" s="26"/>
      <c r="S59" s="26"/>
      <c r="T59" s="26"/>
      <c r="U59" s="25"/>
      <c r="V59" s="25"/>
      <c r="W59" s="25"/>
      <c r="X59" s="10"/>
      <c r="Y59" s="36">
        <f t="shared" ref="Y59:AA59" si="71">SUM(Y51:Y58)</f>
        <v>0</v>
      </c>
      <c r="Z59" s="36">
        <f t="shared" si="71"/>
        <v>0</v>
      </c>
      <c r="AA59" s="36">
        <f t="shared" si="71"/>
        <v>227</v>
      </c>
      <c r="AB59" s="36">
        <f>SUM(AB51:AB58)</f>
        <v>0</v>
      </c>
      <c r="AC59"/>
      <c r="AD59" s="36">
        <f>SUM(AD51:AD58)</f>
        <v>0</v>
      </c>
      <c r="AE59" s="36">
        <f t="shared" ref="AE59:AF59" si="72">SUM(AE51:AE58)</f>
        <v>0</v>
      </c>
      <c r="AF59" s="36">
        <f t="shared" si="72"/>
        <v>0</v>
      </c>
    </row>
    <row r="60" spans="1:32" x14ac:dyDescent="0.25">
      <c r="A60" s="19"/>
      <c r="B60" s="58"/>
      <c r="C60" s="20"/>
      <c r="D60" s="21"/>
      <c r="E60" s="21"/>
      <c r="F60" s="21"/>
      <c r="G60" s="21"/>
      <c r="H60" s="22"/>
      <c r="I60" s="21"/>
      <c r="J60" s="21"/>
      <c r="K60" s="21"/>
      <c r="L60" s="22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2"/>
      <c r="Y60" s="21"/>
      <c r="Z60" s="21"/>
      <c r="AA60" s="21"/>
      <c r="AB60" s="21"/>
      <c r="AC60"/>
      <c r="AD60" s="21"/>
      <c r="AE60" s="21"/>
      <c r="AF60" s="24"/>
    </row>
    <row r="61" spans="1:32" x14ac:dyDescent="0.25">
      <c r="A61" s="246" t="s">
        <v>39</v>
      </c>
      <c r="B61" s="78" t="s">
        <v>133</v>
      </c>
      <c r="C61" s="15"/>
      <c r="D61" s="16"/>
      <c r="E61" s="16"/>
      <c r="F61" s="16"/>
      <c r="G61" s="16"/>
      <c r="I61" s="16">
        <f>G61+F61+E61</f>
        <v>0</v>
      </c>
      <c r="J61" s="16">
        <f t="shared" ref="J61:J71" si="73">E61</f>
        <v>0</v>
      </c>
      <c r="K61" s="16">
        <f t="shared" ref="K61:K71" si="74">I61-J61</f>
        <v>0</v>
      </c>
      <c r="M61" s="4"/>
      <c r="N61" s="4"/>
      <c r="O61" s="4"/>
      <c r="Q61" s="4"/>
      <c r="R61" s="4"/>
      <c r="S61" s="4"/>
      <c r="T61" s="4"/>
      <c r="U61" s="8"/>
      <c r="V61" s="7"/>
      <c r="W61" s="7"/>
      <c r="X61" s="1"/>
      <c r="Y61" s="16"/>
      <c r="Z61" s="16"/>
      <c r="AA61" s="16"/>
      <c r="AB61" s="16"/>
      <c r="AC61"/>
      <c r="AD61" s="4">
        <f>AB61+K61</f>
        <v>0</v>
      </c>
      <c r="AE61" s="4"/>
      <c r="AF61" s="4">
        <f t="shared" ref="AF61:AF70" si="75">AD61-AE61</f>
        <v>0</v>
      </c>
    </row>
    <row r="62" spans="1:32" x14ac:dyDescent="0.25">
      <c r="A62" s="246"/>
      <c r="B62" s="78" t="s">
        <v>134</v>
      </c>
      <c r="C62" s="15"/>
      <c r="D62" s="16"/>
      <c r="E62" s="16"/>
      <c r="F62" s="16"/>
      <c r="G62" s="16"/>
      <c r="I62" s="16">
        <f t="shared" ref="I62:I67" si="76">G62+F62+E62</f>
        <v>0</v>
      </c>
      <c r="J62" s="16">
        <f t="shared" ref="J62:J67" si="77">E62</f>
        <v>0</v>
      </c>
      <c r="K62" s="16">
        <f t="shared" ref="K62:K67" si="78">I62-J62</f>
        <v>0</v>
      </c>
      <c r="M62" s="4"/>
      <c r="N62" s="4"/>
      <c r="O62" s="4"/>
      <c r="Q62" s="4"/>
      <c r="R62" s="4"/>
      <c r="S62" s="4"/>
      <c r="T62" s="4"/>
      <c r="U62" s="8"/>
      <c r="V62" s="7"/>
      <c r="W62" s="7"/>
      <c r="X62" s="1"/>
      <c r="Y62" s="16"/>
      <c r="Z62" s="16"/>
      <c r="AA62" s="16"/>
      <c r="AB62" s="16"/>
      <c r="AC62"/>
      <c r="AD62" s="4">
        <f t="shared" ref="AD62:AD67" si="79">AB62+K62</f>
        <v>0</v>
      </c>
      <c r="AE62" s="4"/>
      <c r="AF62" s="4">
        <f t="shared" ref="AF62:AF67" si="80">AD62-AE62</f>
        <v>0</v>
      </c>
    </row>
    <row r="63" spans="1:32" x14ac:dyDescent="0.25">
      <c r="A63" s="246"/>
      <c r="B63" s="78" t="s">
        <v>135</v>
      </c>
      <c r="C63" s="15"/>
      <c r="D63" s="16"/>
      <c r="E63" s="16"/>
      <c r="F63" s="16"/>
      <c r="G63" s="16"/>
      <c r="I63" s="16">
        <f t="shared" si="76"/>
        <v>0</v>
      </c>
      <c r="J63" s="16">
        <f t="shared" si="77"/>
        <v>0</v>
      </c>
      <c r="K63" s="16">
        <f t="shared" si="78"/>
        <v>0</v>
      </c>
      <c r="M63" s="4"/>
      <c r="N63" s="4"/>
      <c r="O63" s="4"/>
      <c r="Q63" s="4"/>
      <c r="R63" s="4"/>
      <c r="S63" s="4"/>
      <c r="T63" s="4"/>
      <c r="U63" s="8"/>
      <c r="V63" s="7"/>
      <c r="W63" s="7"/>
      <c r="X63" s="1"/>
      <c r="Y63" s="16"/>
      <c r="Z63" s="16"/>
      <c r="AA63" s="16"/>
      <c r="AB63" s="16"/>
      <c r="AC63"/>
      <c r="AD63" s="4">
        <f t="shared" si="79"/>
        <v>0</v>
      </c>
      <c r="AE63" s="4"/>
      <c r="AF63" s="4">
        <f t="shared" si="80"/>
        <v>0</v>
      </c>
    </row>
    <row r="64" spans="1:32" x14ac:dyDescent="0.25">
      <c r="A64" s="246"/>
      <c r="B64" s="78" t="s">
        <v>136</v>
      </c>
      <c r="C64" s="15"/>
      <c r="D64" s="16"/>
      <c r="E64" s="16"/>
      <c r="F64" s="16"/>
      <c r="G64" s="16"/>
      <c r="I64" s="16">
        <f t="shared" si="76"/>
        <v>0</v>
      </c>
      <c r="J64" s="16">
        <f t="shared" si="77"/>
        <v>0</v>
      </c>
      <c r="K64" s="16">
        <f t="shared" si="78"/>
        <v>0</v>
      </c>
      <c r="M64" s="4"/>
      <c r="N64" s="4"/>
      <c r="O64" s="4"/>
      <c r="Q64" s="4"/>
      <c r="R64" s="4"/>
      <c r="S64" s="4"/>
      <c r="T64" s="4"/>
      <c r="U64" s="8"/>
      <c r="V64" s="7"/>
      <c r="W64" s="7"/>
      <c r="X64" s="1"/>
      <c r="Y64" s="16"/>
      <c r="Z64" s="16"/>
      <c r="AA64" s="16"/>
      <c r="AB64" s="16"/>
      <c r="AC64"/>
      <c r="AD64" s="4">
        <f t="shared" si="79"/>
        <v>0</v>
      </c>
      <c r="AE64" s="4"/>
      <c r="AF64" s="4">
        <f t="shared" si="80"/>
        <v>0</v>
      </c>
    </row>
    <row r="65" spans="1:32" x14ac:dyDescent="0.25">
      <c r="A65" s="246"/>
      <c r="B65" s="78" t="s">
        <v>137</v>
      </c>
      <c r="C65" s="15"/>
      <c r="D65" s="16"/>
      <c r="E65" s="16"/>
      <c r="F65" s="16"/>
      <c r="G65" s="16"/>
      <c r="I65" s="16">
        <f t="shared" si="76"/>
        <v>0</v>
      </c>
      <c r="J65" s="16">
        <f t="shared" si="77"/>
        <v>0</v>
      </c>
      <c r="K65" s="16">
        <f t="shared" si="78"/>
        <v>0</v>
      </c>
      <c r="M65" s="4"/>
      <c r="N65" s="4"/>
      <c r="O65" s="4"/>
      <c r="Q65" s="4"/>
      <c r="R65" s="4"/>
      <c r="S65" s="4"/>
      <c r="T65" s="4"/>
      <c r="U65" s="8"/>
      <c r="V65" s="7"/>
      <c r="W65" s="7"/>
      <c r="X65" s="1"/>
      <c r="Y65" s="16"/>
      <c r="Z65" s="16"/>
      <c r="AA65" s="16"/>
      <c r="AB65" s="16"/>
      <c r="AC65"/>
      <c r="AD65" s="4">
        <f t="shared" si="79"/>
        <v>0</v>
      </c>
      <c r="AE65" s="4"/>
      <c r="AF65" s="4">
        <f t="shared" si="80"/>
        <v>0</v>
      </c>
    </row>
    <row r="66" spans="1:32" x14ac:dyDescent="0.25">
      <c r="A66" s="246"/>
      <c r="B66" s="78" t="s">
        <v>138</v>
      </c>
      <c r="C66" s="15"/>
      <c r="D66" s="16"/>
      <c r="E66" s="16"/>
      <c r="F66" s="16"/>
      <c r="G66" s="16"/>
      <c r="I66" s="16">
        <f t="shared" si="76"/>
        <v>0</v>
      </c>
      <c r="J66" s="16">
        <f t="shared" si="77"/>
        <v>0</v>
      </c>
      <c r="K66" s="16">
        <f t="shared" si="78"/>
        <v>0</v>
      </c>
      <c r="M66" s="4"/>
      <c r="N66" s="4"/>
      <c r="O66" s="4"/>
      <c r="Q66" s="4"/>
      <c r="R66" s="4"/>
      <c r="S66" s="4"/>
      <c r="T66" s="4"/>
      <c r="U66" s="8"/>
      <c r="V66" s="7"/>
      <c r="W66" s="7"/>
      <c r="X66" s="1"/>
      <c r="Y66" s="16"/>
      <c r="Z66" s="16"/>
      <c r="AA66" s="16"/>
      <c r="AB66" s="16"/>
      <c r="AC66"/>
      <c r="AD66" s="4">
        <f t="shared" si="79"/>
        <v>0</v>
      </c>
      <c r="AE66" s="4"/>
      <c r="AF66" s="4">
        <f t="shared" si="80"/>
        <v>0</v>
      </c>
    </row>
    <row r="67" spans="1:32" x14ac:dyDescent="0.25">
      <c r="A67" s="246"/>
      <c r="B67" s="78" t="s">
        <v>40</v>
      </c>
      <c r="C67" s="15"/>
      <c r="D67" s="16"/>
      <c r="E67" s="16"/>
      <c r="F67" s="16"/>
      <c r="G67" s="16"/>
      <c r="I67" s="16">
        <f t="shared" si="76"/>
        <v>0</v>
      </c>
      <c r="J67" s="16">
        <f t="shared" si="77"/>
        <v>0</v>
      </c>
      <c r="K67" s="16">
        <f t="shared" si="78"/>
        <v>0</v>
      </c>
      <c r="M67" s="4"/>
      <c r="N67" s="4"/>
      <c r="O67" s="4"/>
      <c r="Q67" s="4"/>
      <c r="R67" s="4"/>
      <c r="S67" s="4"/>
      <c r="T67" s="4"/>
      <c r="U67" s="8"/>
      <c r="V67" s="7"/>
      <c r="W67" s="7"/>
      <c r="X67" s="1"/>
      <c r="Y67" s="16"/>
      <c r="Z67" s="16"/>
      <c r="AA67" s="16"/>
      <c r="AB67" s="16"/>
      <c r="AC67"/>
      <c r="AD67" s="4">
        <f t="shared" si="79"/>
        <v>0</v>
      </c>
      <c r="AE67" s="4"/>
      <c r="AF67" s="4">
        <f t="shared" si="80"/>
        <v>0</v>
      </c>
    </row>
    <row r="68" spans="1:32" x14ac:dyDescent="0.25">
      <c r="A68" s="246"/>
      <c r="B68" s="78" t="s">
        <v>41</v>
      </c>
      <c r="C68" s="15"/>
      <c r="D68" s="16"/>
      <c r="E68" s="16"/>
      <c r="F68" s="16"/>
      <c r="G68" s="16"/>
      <c r="I68" s="16">
        <f>G68+F68+E68</f>
        <v>0</v>
      </c>
      <c r="J68" s="16">
        <f t="shared" si="73"/>
        <v>0</v>
      </c>
      <c r="K68" s="16">
        <f t="shared" si="74"/>
        <v>0</v>
      </c>
      <c r="M68" s="4"/>
      <c r="N68" s="4"/>
      <c r="O68" s="4"/>
      <c r="Q68" s="4"/>
      <c r="R68" s="4"/>
      <c r="S68" s="4"/>
      <c r="T68" s="4"/>
      <c r="U68" s="8"/>
      <c r="V68" s="7"/>
      <c r="W68" s="7"/>
      <c r="X68" s="1"/>
      <c r="Y68" s="16"/>
      <c r="Z68" s="16"/>
      <c r="AA68" s="16">
        <v>82</v>
      </c>
      <c r="AB68" s="16"/>
      <c r="AC68"/>
      <c r="AD68" s="4">
        <f>AB68+K68</f>
        <v>0</v>
      </c>
      <c r="AE68" s="4"/>
      <c r="AF68" s="4">
        <f t="shared" si="75"/>
        <v>0</v>
      </c>
    </row>
    <row r="69" spans="1:32" x14ac:dyDescent="0.25">
      <c r="A69" s="246"/>
      <c r="B69" s="78" t="s">
        <v>42</v>
      </c>
      <c r="C69" s="15"/>
      <c r="D69" s="144"/>
      <c r="E69" s="16"/>
      <c r="F69" s="16"/>
      <c r="G69" s="16"/>
      <c r="I69" s="16">
        <f>G69+F69+E69</f>
        <v>0</v>
      </c>
      <c r="J69" s="16">
        <f t="shared" si="73"/>
        <v>0</v>
      </c>
      <c r="K69" s="16">
        <f t="shared" si="74"/>
        <v>0</v>
      </c>
      <c r="M69" s="4"/>
      <c r="N69" s="4"/>
      <c r="O69" s="4"/>
      <c r="Q69" s="4"/>
      <c r="R69" s="4"/>
      <c r="S69" s="4"/>
      <c r="T69" s="4"/>
      <c r="U69" s="8"/>
      <c r="V69" s="7"/>
      <c r="W69" s="7"/>
      <c r="X69" s="1"/>
      <c r="Y69" s="16"/>
      <c r="Z69" s="16"/>
      <c r="AA69" s="16">
        <v>86</v>
      </c>
      <c r="AB69" s="16"/>
      <c r="AC69"/>
      <c r="AD69" s="4">
        <f>AB69+K69</f>
        <v>0</v>
      </c>
      <c r="AE69" s="4"/>
      <c r="AF69" s="4">
        <f t="shared" si="75"/>
        <v>0</v>
      </c>
    </row>
    <row r="70" spans="1:32" x14ac:dyDescent="0.25">
      <c r="A70" s="246"/>
      <c r="B70" s="78" t="s">
        <v>95</v>
      </c>
      <c r="D70" s="45"/>
      <c r="E70" s="45"/>
      <c r="F70" s="45"/>
      <c r="G70" s="45"/>
      <c r="I70" s="45">
        <f>G70+F70+E70</f>
        <v>0</v>
      </c>
      <c r="J70" s="45">
        <f t="shared" si="73"/>
        <v>0</v>
      </c>
      <c r="K70" s="45">
        <f t="shared" si="74"/>
        <v>0</v>
      </c>
      <c r="M70" s="4"/>
      <c r="N70" s="4"/>
      <c r="O70" s="4"/>
      <c r="X70" s="1"/>
      <c r="Y70" s="30"/>
      <c r="Z70" s="30"/>
      <c r="AA70" s="30">
        <v>5</v>
      </c>
      <c r="AB70" s="16"/>
      <c r="AC70"/>
      <c r="AD70" s="4">
        <f>AB70+K70</f>
        <v>0</v>
      </c>
      <c r="AE70" s="4"/>
      <c r="AF70" s="4">
        <f t="shared" si="75"/>
        <v>0</v>
      </c>
    </row>
    <row r="71" spans="1:32" ht="15.75" thickBot="1" x14ac:dyDescent="0.3">
      <c r="A71" s="247"/>
      <c r="B71" s="78" t="s">
        <v>94</v>
      </c>
      <c r="D71" s="45"/>
      <c r="E71" s="45"/>
      <c r="F71" s="45"/>
      <c r="G71" s="45"/>
      <c r="I71" s="45">
        <f>G71+F71+E71</f>
        <v>0</v>
      </c>
      <c r="J71" s="45">
        <f t="shared" si="73"/>
        <v>0</v>
      </c>
      <c r="K71" s="45">
        <f t="shared" si="74"/>
        <v>0</v>
      </c>
      <c r="M71" s="4"/>
      <c r="N71" s="4"/>
      <c r="O71" s="4"/>
      <c r="X71" s="1"/>
      <c r="Y71" s="30"/>
      <c r="Z71" s="30"/>
      <c r="AA71" s="30">
        <v>3</v>
      </c>
      <c r="AB71" s="16"/>
      <c r="AC71"/>
      <c r="AD71" s="46">
        <f>AB71+K71</f>
        <v>0</v>
      </c>
      <c r="AE71" s="4"/>
      <c r="AF71" s="4">
        <f t="shared" ref="AF71" si="81">AD71-AE71</f>
        <v>0</v>
      </c>
    </row>
    <row r="72" spans="1:32" ht="15.75" thickBot="1" x14ac:dyDescent="0.3">
      <c r="A72" s="9"/>
      <c r="B72" s="77" t="s">
        <v>44</v>
      </c>
      <c r="C72" s="18"/>
      <c r="D72" s="48">
        <f>SUM(D61:D71)</f>
        <v>0</v>
      </c>
      <c r="E72" s="49">
        <f>SUM(E61:E71)</f>
        <v>0</v>
      </c>
      <c r="F72" s="37">
        <f>SUM(F61:F71)</f>
        <v>0</v>
      </c>
      <c r="G72" s="37">
        <f>SUM(G61:G71)</f>
        <v>0</v>
      </c>
      <c r="H72" s="10"/>
      <c r="I72" s="37">
        <f>SUM(I61:I71)</f>
        <v>0</v>
      </c>
      <c r="J72" s="37">
        <f>SUM(J61:J71)</f>
        <v>0</v>
      </c>
      <c r="K72" s="37">
        <f>SUM(K61:K71)</f>
        <v>0</v>
      </c>
      <c r="L72" s="10"/>
      <c r="X72" s="10"/>
      <c r="Y72" s="36">
        <f>SUM(Y61:Y71)</f>
        <v>0</v>
      </c>
      <c r="Z72" s="36">
        <f>SUM(Z61:Z71)</f>
        <v>0</v>
      </c>
      <c r="AA72" s="36">
        <f>SUM(AA61:AA71)</f>
        <v>176</v>
      </c>
      <c r="AB72" s="36">
        <f>SUM(AB61:AB71)</f>
        <v>0</v>
      </c>
      <c r="AC72"/>
      <c r="AD72" s="36">
        <f>SUM(AD61:AD71)</f>
        <v>0</v>
      </c>
      <c r="AE72" s="36">
        <f>SUM(AE61:AE71)</f>
        <v>0</v>
      </c>
      <c r="AF72" s="36">
        <f>SUM(AF61:AF71)</f>
        <v>0</v>
      </c>
    </row>
    <row r="73" spans="1:32" ht="15.75" thickBot="1" x14ac:dyDescent="0.3">
      <c r="A73" s="9"/>
      <c r="B73" s="61" t="s">
        <v>45</v>
      </c>
      <c r="C73" s="18"/>
      <c r="D73" s="38">
        <f>D12+D21+D29+D37+D49+D59+D72</f>
        <v>0</v>
      </c>
      <c r="E73" s="39">
        <f>E12+E21+E29+E37+E49+E59+E72</f>
        <v>0</v>
      </c>
      <c r="F73" s="39">
        <f>F12+F21+F29+F37+F49+F59+F72</f>
        <v>0</v>
      </c>
      <c r="G73" s="39">
        <f>G12+G21+G29+G37+G49+G59+G72</f>
        <v>0</v>
      </c>
      <c r="H73" s="10"/>
      <c r="I73" s="39">
        <f>I12+I21+I29+I37+I49+I59+I72</f>
        <v>0</v>
      </c>
      <c r="J73" s="39">
        <f>J12+J21+J29+J37+J49+J59+J72</f>
        <v>0</v>
      </c>
      <c r="K73" s="39">
        <f>K12+K21+K29+K37+K49+K59+K72</f>
        <v>0</v>
      </c>
      <c r="L73" s="10"/>
      <c r="X73" s="10"/>
      <c r="Y73" s="38">
        <f>Y12+Y21+Y29+Y37+Y49+Y59+Y72</f>
        <v>0</v>
      </c>
      <c r="Z73" s="38">
        <f>Z12+Z21+Z29+Z37+Z49+Z59+Z72</f>
        <v>0</v>
      </c>
      <c r="AA73" s="38">
        <f>AA12+AA21+AA29+AA37+AA49+AA59+AA72</f>
        <v>640</v>
      </c>
      <c r="AB73" s="38">
        <f>AB12+AB21+AB29+AB37+AB49+AB59+AB72</f>
        <v>0</v>
      </c>
      <c r="AC73"/>
      <c r="AD73" s="38">
        <f>AD12+AD21+AD29+AD37+AD49+AD59+AD72</f>
        <v>0</v>
      </c>
      <c r="AE73" s="38">
        <f>AE12+AE21+AE29+AE37+AE49+AE59+AE72</f>
        <v>0</v>
      </c>
      <c r="AF73" s="62">
        <f>AF12+AF21+AF29+AF37+AF49+AF59+AF72</f>
        <v>0</v>
      </c>
    </row>
    <row r="74" spans="1:32" x14ac:dyDescent="0.25">
      <c r="AD74" s="81"/>
    </row>
  </sheetData>
  <mergeCells count="36">
    <mergeCell ref="A61:A71"/>
    <mergeCell ref="A31:A36"/>
    <mergeCell ref="A6:A11"/>
    <mergeCell ref="A14:A20"/>
    <mergeCell ref="S4:S5"/>
    <mergeCell ref="M4:M5"/>
    <mergeCell ref="N4:N5"/>
    <mergeCell ref="Q4:Q5"/>
    <mergeCell ref="O4:O5"/>
    <mergeCell ref="I4:I5"/>
    <mergeCell ref="J4:J5"/>
    <mergeCell ref="K4:K5"/>
    <mergeCell ref="A51:A58"/>
    <mergeCell ref="A23:A27"/>
    <mergeCell ref="R4:R5"/>
    <mergeCell ref="A39:A48"/>
    <mergeCell ref="AD4:AD5"/>
    <mergeCell ref="AE4:AE5"/>
    <mergeCell ref="AF4:AF5"/>
    <mergeCell ref="T4:T5"/>
    <mergeCell ref="W4:W5"/>
    <mergeCell ref="Y4:Y5"/>
    <mergeCell ref="Z4:Z5"/>
    <mergeCell ref="V4:V5"/>
    <mergeCell ref="AB4:AB5"/>
    <mergeCell ref="U4:U5"/>
    <mergeCell ref="AA4:AA5"/>
    <mergeCell ref="M2:W3"/>
    <mergeCell ref="A1:B1"/>
    <mergeCell ref="D1:E1"/>
    <mergeCell ref="F1:G1"/>
    <mergeCell ref="A4:B5"/>
    <mergeCell ref="D4:D5"/>
    <mergeCell ref="E4:E5"/>
    <mergeCell ref="F4:F5"/>
    <mergeCell ref="G4:G5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8805-89C4-4301-9995-7F8AD6D4D6D5}">
  <dimension ref="B2:K29"/>
  <sheetViews>
    <sheetView workbookViewId="0">
      <selection activeCell="F15" sqref="F15"/>
    </sheetView>
  </sheetViews>
  <sheetFormatPr defaultRowHeight="15" x14ac:dyDescent="0.25"/>
  <cols>
    <col min="2" max="2" width="11.85546875" bestFit="1" customWidth="1"/>
    <col min="3" max="3" width="57" bestFit="1" customWidth="1"/>
    <col min="4" max="4" width="4" bestFit="1" customWidth="1"/>
    <col min="9" max="9" width="11.85546875" bestFit="1" customWidth="1"/>
    <col min="10" max="10" width="57" bestFit="1" customWidth="1"/>
  </cols>
  <sheetData>
    <row r="2" spans="2:11" x14ac:dyDescent="0.25">
      <c r="B2" s="145" t="s">
        <v>101</v>
      </c>
      <c r="I2" s="145" t="s">
        <v>99</v>
      </c>
    </row>
    <row r="3" spans="2:11" x14ac:dyDescent="0.25">
      <c r="B3" t="s">
        <v>89</v>
      </c>
      <c r="C3" t="s">
        <v>30</v>
      </c>
      <c r="D3">
        <v>9</v>
      </c>
      <c r="I3" t="s">
        <v>90</v>
      </c>
      <c r="J3" t="s">
        <v>34</v>
      </c>
      <c r="K3">
        <v>6</v>
      </c>
    </row>
    <row r="4" spans="2:11" x14ac:dyDescent="0.25">
      <c r="B4" t="s">
        <v>90</v>
      </c>
      <c r="C4" t="s">
        <v>34</v>
      </c>
      <c r="D4">
        <v>130</v>
      </c>
      <c r="I4" t="s">
        <v>90</v>
      </c>
      <c r="J4" t="s">
        <v>37</v>
      </c>
      <c r="K4">
        <v>2</v>
      </c>
    </row>
    <row r="5" spans="2:11" x14ac:dyDescent="0.25">
      <c r="B5" t="s">
        <v>90</v>
      </c>
      <c r="C5" t="s">
        <v>35</v>
      </c>
      <c r="D5">
        <v>1</v>
      </c>
      <c r="I5" t="s">
        <v>90</v>
      </c>
      <c r="J5" t="s">
        <v>46</v>
      </c>
      <c r="K5">
        <v>3</v>
      </c>
    </row>
    <row r="6" spans="2:11" x14ac:dyDescent="0.25">
      <c r="B6" t="s">
        <v>90</v>
      </c>
      <c r="C6" t="s">
        <v>37</v>
      </c>
      <c r="D6">
        <v>3</v>
      </c>
      <c r="I6" t="s">
        <v>91</v>
      </c>
      <c r="J6" t="s">
        <v>11</v>
      </c>
      <c r="K6">
        <v>1</v>
      </c>
    </row>
    <row r="7" spans="2:11" x14ac:dyDescent="0.25">
      <c r="B7" t="s">
        <v>90</v>
      </c>
      <c r="C7" t="s">
        <v>46</v>
      </c>
      <c r="D7">
        <v>50</v>
      </c>
      <c r="I7" t="s">
        <v>92</v>
      </c>
      <c r="J7" t="s">
        <v>53</v>
      </c>
      <c r="K7">
        <v>15</v>
      </c>
    </row>
    <row r="8" spans="2:11" x14ac:dyDescent="0.25">
      <c r="B8" t="s">
        <v>91</v>
      </c>
      <c r="C8" t="s">
        <v>11</v>
      </c>
      <c r="D8">
        <v>61</v>
      </c>
      <c r="I8" t="s">
        <v>93</v>
      </c>
      <c r="J8" t="s">
        <v>94</v>
      </c>
      <c r="K8">
        <v>6</v>
      </c>
    </row>
    <row r="9" spans="2:11" x14ac:dyDescent="0.25">
      <c r="B9" t="s">
        <v>92</v>
      </c>
      <c r="C9" t="s">
        <v>53</v>
      </c>
      <c r="D9">
        <v>130</v>
      </c>
      <c r="I9" t="s">
        <v>93</v>
      </c>
      <c r="J9" t="s">
        <v>41</v>
      </c>
      <c r="K9">
        <v>26</v>
      </c>
    </row>
    <row r="10" spans="2:11" x14ac:dyDescent="0.25">
      <c r="B10" t="s">
        <v>93</v>
      </c>
      <c r="C10" t="s">
        <v>94</v>
      </c>
      <c r="D10">
        <v>65</v>
      </c>
      <c r="I10" t="s">
        <v>93</v>
      </c>
      <c r="J10" t="s">
        <v>42</v>
      </c>
      <c r="K10">
        <v>28</v>
      </c>
    </row>
    <row r="11" spans="2:11" x14ac:dyDescent="0.25">
      <c r="B11" t="s">
        <v>93</v>
      </c>
      <c r="C11" t="s">
        <v>95</v>
      </c>
      <c r="D11">
        <v>63</v>
      </c>
    </row>
    <row r="12" spans="2:11" x14ac:dyDescent="0.25">
      <c r="B12" t="s">
        <v>93</v>
      </c>
      <c r="C12" t="s">
        <v>41</v>
      </c>
      <c r="D12">
        <v>311</v>
      </c>
    </row>
    <row r="13" spans="2:11" x14ac:dyDescent="0.25">
      <c r="B13" t="s">
        <v>93</v>
      </c>
      <c r="C13" t="s">
        <v>42</v>
      </c>
      <c r="D13">
        <v>228</v>
      </c>
    </row>
    <row r="14" spans="2:11" x14ac:dyDescent="0.25">
      <c r="I14" s="145" t="s">
        <v>98</v>
      </c>
    </row>
    <row r="15" spans="2:11" x14ac:dyDescent="0.25">
      <c r="B15" s="145" t="s">
        <v>100</v>
      </c>
      <c r="I15" t="s">
        <v>89</v>
      </c>
      <c r="J15" t="s">
        <v>30</v>
      </c>
      <c r="K15">
        <v>5</v>
      </c>
    </row>
    <row r="16" spans="2:11" x14ac:dyDescent="0.25">
      <c r="B16" t="s">
        <v>85</v>
      </c>
      <c r="C16" t="s">
        <v>86</v>
      </c>
      <c r="D16">
        <v>1</v>
      </c>
      <c r="I16" t="s">
        <v>90</v>
      </c>
      <c r="J16" t="s">
        <v>34</v>
      </c>
      <c r="K16">
        <v>57</v>
      </c>
    </row>
    <row r="17" spans="2:11" x14ac:dyDescent="0.25">
      <c r="B17" t="s">
        <v>87</v>
      </c>
      <c r="C17" t="s">
        <v>19</v>
      </c>
      <c r="D17">
        <v>5</v>
      </c>
      <c r="I17" t="s">
        <v>90</v>
      </c>
      <c r="J17" t="s">
        <v>35</v>
      </c>
      <c r="K17">
        <v>5</v>
      </c>
    </row>
    <row r="18" spans="2:11" x14ac:dyDescent="0.25">
      <c r="B18" t="s">
        <v>88</v>
      </c>
      <c r="C18" t="s">
        <v>26</v>
      </c>
      <c r="D18">
        <v>3</v>
      </c>
      <c r="I18" t="s">
        <v>90</v>
      </c>
      <c r="J18" t="s">
        <v>36</v>
      </c>
      <c r="K18">
        <v>1</v>
      </c>
    </row>
    <row r="19" spans="2:11" x14ac:dyDescent="0.25">
      <c r="B19" t="s">
        <v>89</v>
      </c>
      <c r="C19" t="s">
        <v>30</v>
      </c>
      <c r="D19">
        <v>10</v>
      </c>
      <c r="I19" t="s">
        <v>90</v>
      </c>
      <c r="J19" t="s">
        <v>37</v>
      </c>
      <c r="K19">
        <v>18</v>
      </c>
    </row>
    <row r="20" spans="2:11" x14ac:dyDescent="0.25">
      <c r="B20" t="s">
        <v>90</v>
      </c>
      <c r="C20" t="s">
        <v>34</v>
      </c>
      <c r="D20">
        <v>143</v>
      </c>
      <c r="I20" t="s">
        <v>90</v>
      </c>
      <c r="J20" t="s">
        <v>46</v>
      </c>
      <c r="K20">
        <v>47</v>
      </c>
    </row>
    <row r="21" spans="2:11" x14ac:dyDescent="0.25">
      <c r="B21" t="s">
        <v>90</v>
      </c>
      <c r="C21" t="s">
        <v>35</v>
      </c>
      <c r="D21">
        <v>1</v>
      </c>
      <c r="I21" t="s">
        <v>91</v>
      </c>
      <c r="J21" t="s">
        <v>96</v>
      </c>
      <c r="K21">
        <v>4</v>
      </c>
    </row>
    <row r="22" spans="2:11" x14ac:dyDescent="0.25">
      <c r="B22" t="s">
        <v>90</v>
      </c>
      <c r="C22" t="s">
        <v>37</v>
      </c>
      <c r="D22">
        <v>4</v>
      </c>
      <c r="I22" t="s">
        <v>91</v>
      </c>
      <c r="J22" t="s">
        <v>11</v>
      </c>
      <c r="K22">
        <v>130</v>
      </c>
    </row>
    <row r="23" spans="2:11" x14ac:dyDescent="0.25">
      <c r="B23" t="s">
        <v>90</v>
      </c>
      <c r="C23" t="s">
        <v>46</v>
      </c>
      <c r="D23">
        <v>47</v>
      </c>
      <c r="I23" t="s">
        <v>97</v>
      </c>
      <c r="J23" t="s">
        <v>52</v>
      </c>
      <c r="K23">
        <v>1</v>
      </c>
    </row>
    <row r="24" spans="2:11" x14ac:dyDescent="0.25">
      <c r="B24" t="s">
        <v>91</v>
      </c>
      <c r="C24" t="s">
        <v>11</v>
      </c>
      <c r="D24">
        <v>60</v>
      </c>
      <c r="I24" t="s">
        <v>92</v>
      </c>
      <c r="J24" t="s">
        <v>53</v>
      </c>
      <c r="K24">
        <v>326</v>
      </c>
    </row>
    <row r="25" spans="2:11" x14ac:dyDescent="0.25">
      <c r="B25" t="s">
        <v>92</v>
      </c>
      <c r="C25" t="s">
        <v>53</v>
      </c>
      <c r="D25">
        <v>115</v>
      </c>
      <c r="I25" t="s">
        <v>93</v>
      </c>
      <c r="J25" t="s">
        <v>94</v>
      </c>
      <c r="K25">
        <v>94</v>
      </c>
    </row>
    <row r="26" spans="2:11" x14ac:dyDescent="0.25">
      <c r="B26" t="s">
        <v>93</v>
      </c>
      <c r="C26" t="s">
        <v>94</v>
      </c>
      <c r="D26">
        <v>60</v>
      </c>
      <c r="I26" t="s">
        <v>93</v>
      </c>
      <c r="J26" t="s">
        <v>95</v>
      </c>
      <c r="K26">
        <v>9</v>
      </c>
    </row>
    <row r="27" spans="2:11" x14ac:dyDescent="0.25">
      <c r="B27" t="s">
        <v>93</v>
      </c>
      <c r="C27" t="s">
        <v>95</v>
      </c>
      <c r="D27">
        <v>63</v>
      </c>
      <c r="I27" t="s">
        <v>93</v>
      </c>
      <c r="J27" t="s">
        <v>41</v>
      </c>
      <c r="K27">
        <v>36</v>
      </c>
    </row>
    <row r="28" spans="2:11" x14ac:dyDescent="0.25">
      <c r="B28" t="s">
        <v>93</v>
      </c>
      <c r="C28" t="s">
        <v>41</v>
      </c>
      <c r="D28">
        <v>292</v>
      </c>
      <c r="I28" t="s">
        <v>93</v>
      </c>
      <c r="J28" t="s">
        <v>42</v>
      </c>
      <c r="K28">
        <v>26</v>
      </c>
    </row>
    <row r="29" spans="2:11" x14ac:dyDescent="0.25">
      <c r="B29" t="s">
        <v>93</v>
      </c>
      <c r="C29" t="s">
        <v>42</v>
      </c>
      <c r="D29">
        <v>202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E0BA6CDD8CA14B831626CAD8697340" ma:contentTypeVersion="16" ma:contentTypeDescription="Create a new document." ma:contentTypeScope="" ma:versionID="9a4d8a4cae735e833cc080cd14f4f66e">
  <xsd:schema xmlns:xsd="http://www.w3.org/2001/XMLSchema" xmlns:xs="http://www.w3.org/2001/XMLSchema" xmlns:p="http://schemas.microsoft.com/office/2006/metadata/properties" xmlns:ns3="d4306bd2-aece-4f19-a380-0282b8848602" xmlns:ns4="a641538f-303e-47a3-b96c-36966100991e" targetNamespace="http://schemas.microsoft.com/office/2006/metadata/properties" ma:root="true" ma:fieldsID="11726cdf4c94768ed1b747ae47dd0388" ns3:_="" ns4:_="">
    <xsd:import namespace="d4306bd2-aece-4f19-a380-0282b8848602"/>
    <xsd:import namespace="a641538f-303e-47a3-b96c-36966100991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306bd2-aece-4f19-a380-0282b884860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41538f-303e-47a3-b96c-3696610099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41538f-303e-47a3-b96c-36966100991e" xsi:nil="true"/>
  </documentManagement>
</p:properties>
</file>

<file path=customXml/itemProps1.xml><?xml version="1.0" encoding="utf-8"?>
<ds:datastoreItem xmlns:ds="http://schemas.openxmlformats.org/officeDocument/2006/customXml" ds:itemID="{2C72C05E-3D6F-40DD-B3EF-220A927978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E4B830-3069-404D-898E-C70CF6AE63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306bd2-aece-4f19-a380-0282b8848602"/>
    <ds:schemaRef ds:uri="a641538f-303e-47a3-b96c-3696610099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005C61-7457-474D-8C1D-065279506F95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a641538f-303e-47a3-b96c-36966100991e"/>
    <ds:schemaRef ds:uri="d4306bd2-aece-4f19-a380-0282b88486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Perakende</vt:lpstr>
      <vt:lpstr>Kurgu</vt:lpstr>
      <vt:lpstr>Orijinal</vt:lpstr>
      <vt:lpstr>Filo versiyon bazlı detay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Kavukçu</dc:creator>
  <cp:keywords/>
  <dc:description/>
  <cp:lastModifiedBy>Doğa Özkütük</cp:lastModifiedBy>
  <cp:revision/>
  <dcterms:created xsi:type="dcterms:W3CDTF">2023-02-26T13:24:14Z</dcterms:created>
  <dcterms:modified xsi:type="dcterms:W3CDTF">2024-08-16T08:41:31Z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0x01010088E0BA6CDD8CA14B831626CAD8697340</vt:lpwstr>
  </property>
</Properties>
</file>